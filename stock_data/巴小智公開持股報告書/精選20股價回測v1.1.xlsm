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e623c24c78e462b/公開持股報告書/"/>
    </mc:Choice>
  </mc:AlternateContent>
  <bookViews>
    <workbookView xWindow="0" yWindow="0" windowWidth="20460" windowHeight="7455" firstSheet="1" activeTab="1" xr2:uid="{00000000-000D-0000-FFFF-FFFF00000000}"/>
  </bookViews>
  <sheets>
    <sheet name="簡易說明" sheetId="12" r:id="rId1"/>
    <sheet name="投資組合損益表" sheetId="2" r:id="rId2"/>
    <sheet name="投資績效比較" sheetId="5" r:id="rId3"/>
    <sheet name="data1" sheetId="8" r:id="rId4"/>
    <sheet name="data2" sheetId="9" r:id="rId5"/>
    <sheet name="data3" sheetId="11" r:id="rId6"/>
    <sheet name="data4" sheetId="10" r:id="rId7"/>
  </sheets>
  <calcPr calcId="171026"/>
</workbook>
</file>

<file path=xl/calcChain.xml><?xml version="1.0" encoding="utf-8"?>
<calcChain xmlns="http://schemas.openxmlformats.org/spreadsheetml/2006/main">
  <c r="G23" i="12" l="1"/>
  <c r="I23" i="12"/>
  <c r="H23" i="12"/>
  <c r="P3" i="5"/>
  <c r="Q3" i="5"/>
  <c r="H42" i="12"/>
  <c r="G42" i="12"/>
  <c r="H41" i="12"/>
  <c r="G41" i="12"/>
  <c r="H40" i="12"/>
  <c r="G40" i="12"/>
  <c r="H39" i="12"/>
  <c r="G39" i="12"/>
  <c r="H38" i="12"/>
  <c r="G38" i="12"/>
  <c r="I38" i="12"/>
  <c r="H37" i="12"/>
  <c r="G37" i="12"/>
  <c r="H36" i="12"/>
  <c r="G36" i="12"/>
  <c r="H35" i="12"/>
  <c r="G35" i="12"/>
  <c r="H34" i="12"/>
  <c r="G34" i="12"/>
  <c r="H33" i="12"/>
  <c r="G33" i="12"/>
  <c r="H32" i="12"/>
  <c r="G32" i="12"/>
  <c r="H31" i="12"/>
  <c r="G31" i="12"/>
  <c r="H30" i="12"/>
  <c r="G30" i="12"/>
  <c r="H29" i="12"/>
  <c r="G29" i="12"/>
  <c r="H28" i="12"/>
  <c r="G28" i="12"/>
  <c r="H27" i="12"/>
  <c r="G27" i="12"/>
  <c r="H26" i="12"/>
  <c r="G26" i="12"/>
  <c r="I26" i="12"/>
  <c r="H25" i="12"/>
  <c r="G25" i="12"/>
  <c r="H24" i="12"/>
  <c r="G24" i="12"/>
  <c r="AN29" i="5"/>
  <c r="AO29" i="5"/>
  <c r="AB29" i="5"/>
  <c r="AC29" i="5"/>
  <c r="AN28" i="5"/>
  <c r="AO28" i="5"/>
  <c r="AB28" i="5"/>
  <c r="AC28" i="5"/>
  <c r="AQ27" i="5"/>
  <c r="AR27" i="5"/>
  <c r="AN27" i="5"/>
  <c r="AO27" i="5"/>
  <c r="AE27" i="5"/>
  <c r="AF27" i="5"/>
  <c r="AB27" i="5"/>
  <c r="AC27" i="5"/>
  <c r="AQ26" i="5"/>
  <c r="AR26" i="5"/>
  <c r="AN26" i="5"/>
  <c r="AO26" i="5"/>
  <c r="AE26" i="5"/>
  <c r="AF26" i="5"/>
  <c r="AB26" i="5"/>
  <c r="AC26" i="5"/>
  <c r="AQ25" i="5"/>
  <c r="AR25" i="5"/>
  <c r="AN25" i="5"/>
  <c r="AO25" i="5"/>
  <c r="AE25" i="5"/>
  <c r="AF25" i="5"/>
  <c r="AB25" i="5"/>
  <c r="AC25" i="5"/>
  <c r="AQ24" i="5"/>
  <c r="AR24" i="5"/>
  <c r="AN24" i="5"/>
  <c r="AO24" i="5"/>
  <c r="AE24" i="5"/>
  <c r="AF24" i="5"/>
  <c r="AB24" i="5"/>
  <c r="AC24" i="5"/>
  <c r="AQ23" i="5"/>
  <c r="AR23" i="5"/>
  <c r="AN23" i="5"/>
  <c r="AO23" i="5"/>
  <c r="AE23" i="5"/>
  <c r="AF23" i="5"/>
  <c r="AB23" i="5"/>
  <c r="AC23" i="5"/>
  <c r="AT22" i="5"/>
  <c r="AU22" i="5"/>
  <c r="AQ22" i="5"/>
  <c r="AR22" i="5"/>
  <c r="AN22" i="5"/>
  <c r="AO22" i="5"/>
  <c r="AH22" i="5"/>
  <c r="AI22" i="5"/>
  <c r="AE22" i="5"/>
  <c r="AF22" i="5"/>
  <c r="AB22" i="5"/>
  <c r="AC22" i="5"/>
  <c r="AT21" i="5"/>
  <c r="AU21" i="5"/>
  <c r="AQ21" i="5"/>
  <c r="AR21" i="5"/>
  <c r="AN21" i="5"/>
  <c r="AO21" i="5"/>
  <c r="AH21" i="5"/>
  <c r="AI21" i="5"/>
  <c r="AE21" i="5"/>
  <c r="AF21" i="5"/>
  <c r="AB21" i="5"/>
  <c r="AC21" i="5"/>
  <c r="AT20" i="5"/>
  <c r="AU20" i="5"/>
  <c r="AQ20" i="5"/>
  <c r="AR20" i="5"/>
  <c r="AN20" i="5"/>
  <c r="AO20" i="5"/>
  <c r="AH20" i="5"/>
  <c r="AI20" i="5"/>
  <c r="AE20" i="5"/>
  <c r="AF20" i="5"/>
  <c r="AB20" i="5"/>
  <c r="AC20" i="5"/>
  <c r="AT19" i="5"/>
  <c r="AU19" i="5"/>
  <c r="AU33" i="5"/>
  <c r="AQ19" i="5"/>
  <c r="AR19" i="5"/>
  <c r="AN19" i="5"/>
  <c r="AO19" i="5"/>
  <c r="AO33" i="5"/>
  <c r="AH19" i="5"/>
  <c r="AI19" i="5"/>
  <c r="AI33" i="5"/>
  <c r="AE19" i="5"/>
  <c r="AF19" i="5"/>
  <c r="AF33" i="5"/>
  <c r="AB19" i="5"/>
  <c r="AC19" i="5"/>
  <c r="AN13" i="5"/>
  <c r="AO13" i="5"/>
  <c r="AB13" i="5"/>
  <c r="AC13" i="5"/>
  <c r="AN12" i="5"/>
  <c r="AO12" i="5"/>
  <c r="AB12" i="5"/>
  <c r="AC12" i="5"/>
  <c r="AQ11" i="5"/>
  <c r="AR11" i="5"/>
  <c r="AN11" i="5"/>
  <c r="AO11" i="5"/>
  <c r="AE11" i="5"/>
  <c r="AF11" i="5"/>
  <c r="AB11" i="5"/>
  <c r="AC11" i="5"/>
  <c r="AQ10" i="5"/>
  <c r="AR10" i="5"/>
  <c r="AN10" i="5"/>
  <c r="AO10" i="5"/>
  <c r="AE10" i="5"/>
  <c r="AF10" i="5"/>
  <c r="AB10" i="5"/>
  <c r="AC10" i="5"/>
  <c r="AQ9" i="5"/>
  <c r="AR9" i="5"/>
  <c r="AN9" i="5"/>
  <c r="AO9" i="5"/>
  <c r="AE9" i="5"/>
  <c r="AF9" i="5"/>
  <c r="AB9" i="5"/>
  <c r="AC9" i="5"/>
  <c r="AQ8" i="5"/>
  <c r="AR8" i="5"/>
  <c r="AN8" i="5"/>
  <c r="AO8" i="5"/>
  <c r="AE8" i="5"/>
  <c r="AF8" i="5"/>
  <c r="AB8" i="5"/>
  <c r="AC8" i="5"/>
  <c r="AQ7" i="5"/>
  <c r="AR7" i="5"/>
  <c r="AN7" i="5"/>
  <c r="AO7" i="5"/>
  <c r="AE7" i="5"/>
  <c r="AF7" i="5"/>
  <c r="AB7" i="5"/>
  <c r="AC7" i="5"/>
  <c r="AT6" i="5"/>
  <c r="AU6" i="5"/>
  <c r="AQ6" i="5"/>
  <c r="AR6" i="5"/>
  <c r="AN6" i="5"/>
  <c r="AO6" i="5"/>
  <c r="AH6" i="5"/>
  <c r="AI6" i="5"/>
  <c r="AE6" i="5"/>
  <c r="AF6" i="5"/>
  <c r="AB6" i="5"/>
  <c r="AC6" i="5"/>
  <c r="AT5" i="5"/>
  <c r="AU5" i="5"/>
  <c r="AQ5" i="5"/>
  <c r="AR5" i="5"/>
  <c r="AN5" i="5"/>
  <c r="AO5" i="5"/>
  <c r="AH5" i="5"/>
  <c r="AI5" i="5"/>
  <c r="AE5" i="5"/>
  <c r="AF5" i="5"/>
  <c r="AB5" i="5"/>
  <c r="AC5" i="5"/>
  <c r="AT4" i="5"/>
  <c r="AU4" i="5"/>
  <c r="AQ4" i="5"/>
  <c r="AR4" i="5"/>
  <c r="AN4" i="5"/>
  <c r="AO4" i="5"/>
  <c r="AH4" i="5"/>
  <c r="AI4" i="5"/>
  <c r="AE4" i="5"/>
  <c r="AF4" i="5"/>
  <c r="AB4" i="5"/>
  <c r="AC4" i="5"/>
  <c r="AT3" i="5"/>
  <c r="AU3" i="5"/>
  <c r="AQ3" i="5"/>
  <c r="AR3" i="5"/>
  <c r="AN3" i="5"/>
  <c r="AO3" i="5"/>
  <c r="AH3" i="5"/>
  <c r="AI3" i="5"/>
  <c r="AE3" i="5"/>
  <c r="AF3" i="5"/>
  <c r="AB3" i="5"/>
  <c r="AC3" i="5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9" i="2"/>
  <c r="H20" i="2"/>
  <c r="H21" i="2"/>
  <c r="H22" i="2"/>
  <c r="H23" i="2"/>
  <c r="H4" i="2"/>
  <c r="H18" i="2"/>
  <c r="P13" i="5"/>
  <c r="Q13" i="5"/>
  <c r="P12" i="5"/>
  <c r="Q12" i="5"/>
  <c r="S11" i="5"/>
  <c r="T11" i="5"/>
  <c r="P11" i="5"/>
  <c r="Q11" i="5"/>
  <c r="S10" i="5"/>
  <c r="T10" i="5"/>
  <c r="P10" i="5"/>
  <c r="Q10" i="5"/>
  <c r="S9" i="5"/>
  <c r="T9" i="5"/>
  <c r="P9" i="5"/>
  <c r="Q9" i="5"/>
  <c r="S8" i="5"/>
  <c r="T8" i="5"/>
  <c r="P8" i="5"/>
  <c r="Q8" i="5"/>
  <c r="S7" i="5"/>
  <c r="T7" i="5"/>
  <c r="P7" i="5"/>
  <c r="Q7" i="5"/>
  <c r="V6" i="5"/>
  <c r="W6" i="5"/>
  <c r="S6" i="5"/>
  <c r="T6" i="5"/>
  <c r="P6" i="5"/>
  <c r="Q6" i="5"/>
  <c r="Q15" i="5"/>
  <c r="V5" i="5"/>
  <c r="W5" i="5"/>
  <c r="S5" i="5"/>
  <c r="T5" i="5"/>
  <c r="P5" i="5"/>
  <c r="Q5" i="5"/>
  <c r="V4" i="5"/>
  <c r="W4" i="5"/>
  <c r="W15" i="5"/>
  <c r="S4" i="5"/>
  <c r="T4" i="5"/>
  <c r="P4" i="5"/>
  <c r="Q4" i="5"/>
  <c r="V3" i="5"/>
  <c r="W3" i="5"/>
  <c r="S3" i="5"/>
  <c r="T3" i="5"/>
  <c r="T15" i="5"/>
  <c r="P29" i="5"/>
  <c r="Q29" i="5"/>
  <c r="P28" i="5"/>
  <c r="Q28" i="5"/>
  <c r="S27" i="5"/>
  <c r="T27" i="5"/>
  <c r="P27" i="5"/>
  <c r="Q27" i="5"/>
  <c r="S26" i="5"/>
  <c r="T26" i="5"/>
  <c r="P26" i="5"/>
  <c r="Q26" i="5"/>
  <c r="S25" i="5"/>
  <c r="T25" i="5"/>
  <c r="P25" i="5"/>
  <c r="Q25" i="5"/>
  <c r="S24" i="5"/>
  <c r="T24" i="5"/>
  <c r="P24" i="5"/>
  <c r="Q24" i="5"/>
  <c r="S23" i="5"/>
  <c r="T23" i="5"/>
  <c r="P23" i="5"/>
  <c r="Q23" i="5"/>
  <c r="V22" i="5"/>
  <c r="W22" i="5"/>
  <c r="S22" i="5"/>
  <c r="T22" i="5"/>
  <c r="P22" i="5"/>
  <c r="Q22" i="5"/>
  <c r="V21" i="5"/>
  <c r="W21" i="5"/>
  <c r="W33" i="5"/>
  <c r="S21" i="5"/>
  <c r="T21" i="5"/>
  <c r="P21" i="5"/>
  <c r="Q21" i="5"/>
  <c r="V20" i="5"/>
  <c r="W20" i="5"/>
  <c r="S20" i="5"/>
  <c r="T20" i="5"/>
  <c r="P20" i="5"/>
  <c r="Q20" i="5"/>
  <c r="V19" i="5"/>
  <c r="W19" i="5"/>
  <c r="S19" i="5"/>
  <c r="T19" i="5"/>
  <c r="P19" i="5"/>
  <c r="Q19" i="5"/>
  <c r="Q33" i="5"/>
  <c r="D13" i="5"/>
  <c r="E13" i="5"/>
  <c r="D12" i="5"/>
  <c r="E12" i="5"/>
  <c r="G11" i="5"/>
  <c r="H11" i="5"/>
  <c r="D11" i="5"/>
  <c r="E11" i="5"/>
  <c r="G10" i="5"/>
  <c r="H10" i="5"/>
  <c r="D10" i="5"/>
  <c r="E10" i="5"/>
  <c r="G9" i="5"/>
  <c r="H9" i="5"/>
  <c r="D9" i="5"/>
  <c r="E9" i="5"/>
  <c r="G8" i="5"/>
  <c r="H8" i="5"/>
  <c r="D8" i="5"/>
  <c r="E8" i="5"/>
  <c r="G7" i="5"/>
  <c r="H7" i="5"/>
  <c r="D7" i="5"/>
  <c r="E7" i="5"/>
  <c r="J6" i="5"/>
  <c r="K6" i="5"/>
  <c r="G6" i="5"/>
  <c r="H6" i="5"/>
  <c r="D6" i="5"/>
  <c r="E6" i="5"/>
  <c r="J5" i="5"/>
  <c r="K5" i="5"/>
  <c r="G5" i="5"/>
  <c r="H5" i="5"/>
  <c r="D5" i="5"/>
  <c r="E5" i="5"/>
  <c r="J4" i="5"/>
  <c r="K4" i="5"/>
  <c r="G4" i="5"/>
  <c r="H4" i="5"/>
  <c r="D4" i="5"/>
  <c r="E4" i="5"/>
  <c r="J3" i="5"/>
  <c r="K3" i="5"/>
  <c r="K15" i="5"/>
  <c r="G3" i="5"/>
  <c r="H3" i="5"/>
  <c r="H15" i="5"/>
  <c r="D3" i="5"/>
  <c r="E3" i="5"/>
  <c r="E15" i="5"/>
  <c r="D19" i="5"/>
  <c r="E19" i="5"/>
  <c r="G19" i="5"/>
  <c r="H19" i="5"/>
  <c r="J19" i="5"/>
  <c r="K19" i="5"/>
  <c r="D20" i="5"/>
  <c r="E20" i="5"/>
  <c r="G20" i="5"/>
  <c r="H20" i="5"/>
  <c r="J20" i="5"/>
  <c r="K20" i="5"/>
  <c r="D21" i="5"/>
  <c r="E21" i="5"/>
  <c r="G21" i="5"/>
  <c r="H21" i="5"/>
  <c r="J21" i="5"/>
  <c r="K21" i="5"/>
  <c r="D22" i="5"/>
  <c r="E22" i="5"/>
  <c r="G22" i="5"/>
  <c r="H22" i="5"/>
  <c r="J22" i="5"/>
  <c r="K22" i="5"/>
  <c r="D23" i="5"/>
  <c r="E23" i="5"/>
  <c r="G23" i="5"/>
  <c r="H23" i="5"/>
  <c r="D24" i="5"/>
  <c r="E24" i="5"/>
  <c r="G24" i="5"/>
  <c r="H24" i="5"/>
  <c r="D25" i="5"/>
  <c r="E25" i="5"/>
  <c r="G25" i="5"/>
  <c r="H25" i="5"/>
  <c r="D26" i="5"/>
  <c r="E26" i="5"/>
  <c r="G26" i="5"/>
  <c r="H26" i="5"/>
  <c r="D27" i="5"/>
  <c r="E27" i="5"/>
  <c r="G27" i="5"/>
  <c r="H27" i="5"/>
  <c r="D28" i="5"/>
  <c r="E28" i="5"/>
  <c r="D29" i="5"/>
  <c r="E29" i="5"/>
  <c r="I41" i="12"/>
  <c r="AI15" i="5"/>
  <c r="AF15" i="5"/>
  <c r="AC15" i="5"/>
  <c r="I25" i="12"/>
  <c r="I31" i="12"/>
  <c r="I24" i="12"/>
  <c r="I28" i="12"/>
  <c r="I30" i="12"/>
  <c r="I29" i="12"/>
  <c r="I32" i="12"/>
  <c r="I34" i="12"/>
  <c r="I36" i="12"/>
  <c r="I40" i="12"/>
  <c r="I42" i="12"/>
  <c r="I35" i="12"/>
  <c r="H45" i="12"/>
  <c r="D45" i="12"/>
  <c r="I27" i="12"/>
  <c r="I33" i="12"/>
  <c r="I37" i="12"/>
  <c r="I39" i="12"/>
  <c r="D44" i="12"/>
  <c r="H44" i="12"/>
  <c r="I19" i="2"/>
  <c r="I8" i="2"/>
  <c r="AU15" i="5"/>
  <c r="AO15" i="5"/>
  <c r="I4" i="2"/>
  <c r="I12" i="2"/>
  <c r="AR15" i="5"/>
  <c r="I11" i="2"/>
  <c r="I9" i="2"/>
  <c r="I22" i="2"/>
  <c r="I18" i="2"/>
  <c r="I15" i="2"/>
  <c r="I23" i="2"/>
  <c r="I21" i="2"/>
  <c r="I16" i="2"/>
  <c r="I10" i="2"/>
  <c r="I20" i="2"/>
  <c r="I17" i="2"/>
  <c r="I14" i="2"/>
  <c r="I13" i="2"/>
  <c r="I7" i="2"/>
  <c r="I6" i="2"/>
  <c r="H26" i="2"/>
  <c r="I5" i="2"/>
  <c r="H33" i="5"/>
  <c r="D25" i="2"/>
  <c r="T33" i="5"/>
  <c r="E33" i="5"/>
  <c r="K33" i="5"/>
  <c r="AC33" i="5"/>
  <c r="AR33" i="5"/>
  <c r="D26" i="2"/>
  <c r="H25" i="2"/>
</calcChain>
</file>

<file path=xl/sharedStrings.xml><?xml version="1.0" encoding="utf-8"?>
<sst xmlns="http://schemas.openxmlformats.org/spreadsheetml/2006/main" count="780" uniqueCount="207">
  <si>
    <t>一  . 檔案打開,EXCEL 顯示下列畫面,請按&lt;選項&gt;再勾選 &lt;啟用這個內容&gt;</t>
    <phoneticPr fontId="30" type="noConversion"/>
  </si>
  <si>
    <t xml:space="preserve"> 1 . 投資組合損益表</t>
    <phoneticPr fontId="30" type="noConversion"/>
  </si>
  <si>
    <r>
      <rPr>
        <b/>
        <sz val="20"/>
        <color indexed="10"/>
        <rFont val="微軟正黑體"/>
        <family val="2"/>
        <charset val="136"/>
      </rPr>
      <t>我</t>
    </r>
    <r>
      <rPr>
        <b/>
        <sz val="20"/>
        <color indexed="17"/>
        <rFont val="微軟正黑體"/>
        <family val="2"/>
        <charset val="136"/>
      </rPr>
      <t>們</t>
    </r>
    <r>
      <rPr>
        <b/>
        <sz val="20"/>
        <color indexed="53"/>
        <rFont val="微軟正黑體"/>
        <family val="2"/>
        <charset val="136"/>
      </rPr>
      <t>的</t>
    </r>
    <r>
      <rPr>
        <b/>
        <sz val="20"/>
        <color indexed="30"/>
        <rFont val="微軟正黑體"/>
        <family val="2"/>
        <charset val="136"/>
      </rPr>
      <t>股票</t>
    </r>
    <r>
      <rPr>
        <b/>
        <sz val="20"/>
        <color indexed="36"/>
        <rFont val="微軟正黑體"/>
        <family val="2"/>
        <charset val="136"/>
      </rPr>
      <t>投資</t>
    </r>
    <r>
      <rPr>
        <b/>
        <sz val="16"/>
        <color indexed="8"/>
        <rFont val="微軟正黑體"/>
        <family val="2"/>
        <charset val="136"/>
      </rPr>
      <t xml:space="preserve"> </t>
    </r>
    <r>
      <rPr>
        <b/>
        <sz val="12"/>
        <color indexed="8"/>
        <rFont val="微軟正黑體"/>
        <family val="2"/>
        <charset val="136"/>
      </rPr>
      <t>投資組合績效回測</t>
    </r>
    <r>
      <rPr>
        <b/>
        <sz val="16"/>
        <color indexed="8"/>
        <rFont val="微軟正黑體"/>
        <family val="2"/>
        <charset val="136"/>
      </rPr>
      <t xml:space="preserve">     Ver 1.1</t>
    </r>
    <phoneticPr fontId="1" type="noConversion"/>
  </si>
  <si>
    <t>輸入年度</t>
    <phoneticPr fontId="1" type="noConversion"/>
  </si>
  <si>
    <t>編號</t>
    <phoneticPr fontId="1" type="noConversion"/>
  </si>
  <si>
    <t>股票
代號</t>
    <phoneticPr fontId="1" type="noConversion"/>
  </si>
  <si>
    <t>股票名稱</t>
    <phoneticPr fontId="1" type="noConversion"/>
  </si>
  <si>
    <t>買進價</t>
    <phoneticPr fontId="1" type="noConversion"/>
  </si>
  <si>
    <t>賣出價</t>
    <phoneticPr fontId="1" type="noConversion"/>
  </si>
  <si>
    <t>股數</t>
  </si>
  <si>
    <t>投入資金</t>
    <phoneticPr fontId="1" type="noConversion"/>
  </si>
  <si>
    <t>淨損益</t>
    <phoneticPr fontId="1" type="noConversion"/>
  </si>
  <si>
    <t>報酬率</t>
    <phoneticPr fontId="1" type="noConversion"/>
  </si>
  <si>
    <t>欄位說明</t>
    <phoneticPr fontId="30" type="noConversion"/>
  </si>
  <si>
    <t>統一</t>
    <phoneticPr fontId="1" type="noConversion"/>
  </si>
  <si>
    <t>&lt;輸入年度&gt;  可以輸入 93 -105 總共14個年度</t>
    <phoneticPr fontId="30" type="noConversion"/>
  </si>
  <si>
    <t>台塑</t>
    <phoneticPr fontId="1" type="noConversion"/>
  </si>
  <si>
    <t>若是要查詢單年度報酬率,例如 104年度</t>
    <phoneticPr fontId="30" type="noConversion"/>
  </si>
  <si>
    <t>南亞</t>
    <phoneticPr fontId="1" type="noConversion"/>
  </si>
  <si>
    <t>請再輸入年度 填寫104 ; 再直接按Enter。往下拉就可以看到當年投資損益。</t>
    <phoneticPr fontId="30" type="noConversion"/>
  </si>
  <si>
    <t>台化</t>
    <phoneticPr fontId="1" type="noConversion"/>
  </si>
  <si>
    <t>正新</t>
    <phoneticPr fontId="1" type="noConversion"/>
  </si>
  <si>
    <t>data1</t>
    <phoneticPr fontId="30" type="noConversion"/>
  </si>
  <si>
    <t xml:space="preserve">代表 </t>
    <phoneticPr fontId="30" type="noConversion"/>
  </si>
  <si>
    <t>年初買進+年底賣出</t>
    <phoneticPr fontId="30" type="noConversion"/>
  </si>
  <si>
    <t>富邦金</t>
    <phoneticPr fontId="1" type="noConversion"/>
  </si>
  <si>
    <t>data2</t>
    <phoneticPr fontId="30" type="noConversion"/>
  </si>
  <si>
    <t>7700點&amp;年初買進+年底賣出</t>
    <phoneticPr fontId="30" type="noConversion"/>
  </si>
  <si>
    <t>國泰金</t>
    <phoneticPr fontId="1" type="noConversion"/>
  </si>
  <si>
    <t>data3</t>
    <phoneticPr fontId="30" type="noConversion"/>
  </si>
  <si>
    <t>8000點&amp;年初買進+年底賣出</t>
    <phoneticPr fontId="30" type="noConversion"/>
  </si>
  <si>
    <t>台達電</t>
    <phoneticPr fontId="1" type="noConversion"/>
  </si>
  <si>
    <t>data4</t>
    <phoneticPr fontId="30" type="noConversion"/>
  </si>
  <si>
    <t>8300點&amp;年初買進+年底賣出</t>
    <phoneticPr fontId="30" type="noConversion"/>
  </si>
  <si>
    <t>日月光</t>
    <phoneticPr fontId="1" type="noConversion"/>
  </si>
  <si>
    <t>鴻海</t>
    <phoneticPr fontId="1" type="noConversion"/>
  </si>
  <si>
    <t>若是要得知不同買賣模式的績效,請勾選</t>
    <phoneticPr fontId="30" type="noConversion"/>
  </si>
  <si>
    <t> 台積電</t>
    <phoneticPr fontId="1" type="noConversion"/>
  </si>
  <si>
    <t>data1 + 點選&lt;自動計算&gt; 在隔頁的投資績效比較就會出現相關數據</t>
    <phoneticPr fontId="30" type="noConversion"/>
  </si>
  <si>
    <t>矽品</t>
    <phoneticPr fontId="1" type="noConversion"/>
  </si>
  <si>
    <t>data2 + 點選&lt;自動計算&gt; 在隔頁的投資績效比較就會出現相關數據</t>
    <phoneticPr fontId="30" type="noConversion"/>
  </si>
  <si>
    <t> 廣達</t>
    <phoneticPr fontId="1" type="noConversion"/>
  </si>
  <si>
    <t>data3 + 點選 &lt;自動計算&gt; 在隔頁的投資績效比較就會出現相關數據</t>
    <phoneticPr fontId="30" type="noConversion"/>
  </si>
  <si>
    <t>中華電</t>
    <phoneticPr fontId="1" type="noConversion"/>
  </si>
  <si>
    <t>data4 + 點選 &lt;自動計算&gt; 在隔頁的投資績效比較就會出現相關數據</t>
    <phoneticPr fontId="30" type="noConversion"/>
  </si>
  <si>
    <t>台灣大</t>
    <phoneticPr fontId="1" type="noConversion"/>
  </si>
  <si>
    <t>統一超</t>
    <phoneticPr fontId="1" type="noConversion"/>
  </si>
  <si>
    <t>若要得知四種買賣模式,則需勾選四次。</t>
    <phoneticPr fontId="30" type="noConversion"/>
  </si>
  <si>
    <t>兆豐金</t>
    <phoneticPr fontId="1" type="noConversion"/>
  </si>
  <si>
    <t>若是想知道其中一種?只要勾選data 1 or 2 or 3 or 4 +自動計算即可。</t>
    <phoneticPr fontId="30" type="noConversion"/>
  </si>
  <si>
    <t>第一金</t>
    <phoneticPr fontId="1" type="noConversion"/>
  </si>
  <si>
    <t>如果想刪減個股,直接將股數輸入0即可。</t>
    <phoneticPr fontId="30" type="noConversion"/>
  </si>
  <si>
    <t>台塑化</t>
    <phoneticPr fontId="1" type="noConversion"/>
  </si>
  <si>
    <t>例如不想要1326台化,只要股數輸入0,代表只剩下19檔。以此類推!</t>
  </si>
  <si>
    <t>遠傳</t>
    <phoneticPr fontId="1" type="noConversion"/>
  </si>
  <si>
    <t>個股的股數可以隨意增減沒問題。</t>
    <phoneticPr fontId="30" type="noConversion"/>
  </si>
  <si>
    <t>買進時總市值</t>
    <phoneticPr fontId="1" type="noConversion"/>
  </si>
  <si>
    <t>投資報酬率</t>
    <phoneticPr fontId="1" type="noConversion"/>
  </si>
  <si>
    <t>目前總市值</t>
    <phoneticPr fontId="1" type="noConversion"/>
  </si>
  <si>
    <t>2 . 投資績效比較</t>
    <phoneticPr fontId="30" type="noConversion"/>
  </si>
  <si>
    <t>上面是自選股投資績效</t>
    <phoneticPr fontId="30" type="noConversion"/>
  </si>
  <si>
    <t>這是data1 : 年初買進+年底賣出 模式</t>
    <phoneticPr fontId="30" type="noConversion"/>
  </si>
  <si>
    <t>下面是0050ETF投資績效</t>
    <phoneticPr fontId="30" type="noConversion"/>
  </si>
  <si>
    <t>data2 : 7700點&amp;年初買進+年底賣出</t>
    <phoneticPr fontId="30" type="noConversion"/>
  </si>
  <si>
    <t>data3 : 8000點&amp;年初買進+年底賣出</t>
    <phoneticPr fontId="30" type="noConversion"/>
  </si>
  <si>
    <t>data4 : 8300點&amp;年初買進+年底賣出</t>
    <phoneticPr fontId="30" type="noConversion"/>
  </si>
  <si>
    <t>總共有 四種買賣模式比較表。</t>
    <phoneticPr fontId="30" type="noConversion"/>
  </si>
  <si>
    <t>3 . 股價資料庫</t>
    <phoneticPr fontId="30" type="noConversion"/>
  </si>
  <si>
    <t>data1,data2,data3,data4 的股價資料請勿更動或刪除。否則檔案無法運作!</t>
    <phoneticPr fontId="30" type="noConversion"/>
  </si>
  <si>
    <t>大型股    20檔</t>
    <phoneticPr fontId="1" type="noConversion"/>
  </si>
  <si>
    <t>傳產</t>
    <phoneticPr fontId="1" type="noConversion"/>
  </si>
  <si>
    <t>1216 統一</t>
    <phoneticPr fontId="1" type="noConversion"/>
  </si>
  <si>
    <t>1301 台塑</t>
    <phoneticPr fontId="1" type="noConversion"/>
  </si>
  <si>
    <t>1303 南亞</t>
    <phoneticPr fontId="1" type="noConversion"/>
  </si>
  <si>
    <t>1326 台化</t>
    <phoneticPr fontId="1" type="noConversion"/>
  </si>
  <si>
    <t>2105 正新  </t>
    <phoneticPr fontId="1" type="noConversion"/>
  </si>
  <si>
    <t>6505 台塑化</t>
    <phoneticPr fontId="1" type="noConversion"/>
  </si>
  <si>
    <t>2912 統一超</t>
    <phoneticPr fontId="1" type="noConversion"/>
  </si>
  <si>
    <t>電子</t>
    <phoneticPr fontId="1" type="noConversion"/>
  </si>
  <si>
    <t>2308 台達電</t>
    <phoneticPr fontId="1" type="noConversion"/>
  </si>
  <si>
    <t>2311 日月光</t>
    <phoneticPr fontId="1" type="noConversion"/>
  </si>
  <si>
    <t>2317 鴻海</t>
    <phoneticPr fontId="1" type="noConversion"/>
  </si>
  <si>
    <t>2330 台積電</t>
    <phoneticPr fontId="1" type="noConversion"/>
  </si>
  <si>
    <t>2325 矽品</t>
    <phoneticPr fontId="1" type="noConversion"/>
  </si>
  <si>
    <t>2382 廣達</t>
    <phoneticPr fontId="1" type="noConversion"/>
  </si>
  <si>
    <t>2412 中華電</t>
    <phoneticPr fontId="1" type="noConversion"/>
  </si>
  <si>
    <t>3045 台灣大</t>
    <phoneticPr fontId="1" type="noConversion"/>
  </si>
  <si>
    <t>4904 遠傳</t>
    <phoneticPr fontId="1" type="noConversion"/>
  </si>
  <si>
    <t>金融</t>
    <phoneticPr fontId="1" type="noConversion"/>
  </si>
  <si>
    <t>2881 富邦金</t>
    <phoneticPr fontId="1" type="noConversion"/>
  </si>
  <si>
    <t>2882 國泰金</t>
    <phoneticPr fontId="1" type="noConversion"/>
  </si>
  <si>
    <t>2886 兆豐金</t>
    <phoneticPr fontId="1" type="noConversion"/>
  </si>
  <si>
    <t>2892 第一金</t>
    <phoneticPr fontId="1" type="noConversion"/>
  </si>
  <si>
    <t>標準版</t>
    <phoneticPr fontId="7" type="noConversion"/>
  </si>
  <si>
    <t>data1</t>
    <phoneticPr fontId="7" type="noConversion"/>
  </si>
  <si>
    <t>進階版</t>
    <phoneticPr fontId="7" type="noConversion"/>
  </si>
  <si>
    <t>data2</t>
    <phoneticPr fontId="7" type="noConversion"/>
  </si>
  <si>
    <t>data3</t>
    <phoneticPr fontId="7" type="noConversion"/>
  </si>
  <si>
    <t>data4</t>
    <phoneticPr fontId="7" type="noConversion"/>
  </si>
  <si>
    <t>民國</t>
  </si>
  <si>
    <t>自選股價差報酬率</t>
    <phoneticPr fontId="1" type="noConversion"/>
  </si>
  <si>
    <t>投資期限  三  年</t>
    <phoneticPr fontId="1" type="noConversion"/>
  </si>
  <si>
    <t>累計報酬率</t>
    <phoneticPr fontId="1" type="noConversion"/>
  </si>
  <si>
    <t>年化報酬率</t>
    <phoneticPr fontId="1" type="noConversion"/>
  </si>
  <si>
    <t>投資期限   五  年</t>
    <phoneticPr fontId="1" type="noConversion"/>
  </si>
  <si>
    <t>投資期限   十 年</t>
    <phoneticPr fontId="1" type="noConversion"/>
  </si>
  <si>
    <t>投資期限    三  年</t>
    <phoneticPr fontId="1" type="noConversion"/>
  </si>
  <si>
    <t>2014-2016</t>
    <phoneticPr fontId="1" type="noConversion"/>
  </si>
  <si>
    <t>2012-2016</t>
    <phoneticPr fontId="1" type="noConversion"/>
  </si>
  <si>
    <t>2007-2016</t>
    <phoneticPr fontId="1" type="noConversion"/>
  </si>
  <si>
    <t>2013-2015</t>
    <phoneticPr fontId="1" type="noConversion"/>
  </si>
  <si>
    <t>2011-2015</t>
    <phoneticPr fontId="1" type="noConversion"/>
  </si>
  <si>
    <t>2006-2015</t>
    <phoneticPr fontId="1" type="noConversion"/>
  </si>
  <si>
    <t>2012-2014</t>
    <phoneticPr fontId="1" type="noConversion"/>
  </si>
  <si>
    <t>2010-2014</t>
    <phoneticPr fontId="1" type="noConversion"/>
  </si>
  <si>
    <t>2005-2014</t>
    <phoneticPr fontId="1" type="noConversion"/>
  </si>
  <si>
    <t>2011-2013</t>
    <phoneticPr fontId="1" type="noConversion"/>
  </si>
  <si>
    <t>2009-2013</t>
    <phoneticPr fontId="1" type="noConversion"/>
  </si>
  <si>
    <t>2004-2013</t>
    <phoneticPr fontId="1" type="noConversion"/>
  </si>
  <si>
    <t>2010-2012</t>
    <phoneticPr fontId="1" type="noConversion"/>
  </si>
  <si>
    <t>2008-2012</t>
    <phoneticPr fontId="1" type="noConversion"/>
  </si>
  <si>
    <t>2009-2011</t>
    <phoneticPr fontId="1" type="noConversion"/>
  </si>
  <si>
    <t>2007-2011</t>
    <phoneticPr fontId="1" type="noConversion"/>
  </si>
  <si>
    <t>2008-2010</t>
    <phoneticPr fontId="1" type="noConversion"/>
  </si>
  <si>
    <t>2006-2010</t>
    <phoneticPr fontId="1" type="noConversion"/>
  </si>
  <si>
    <t>2007-2009</t>
    <phoneticPr fontId="1" type="noConversion"/>
  </si>
  <si>
    <t>2005-2009</t>
    <phoneticPr fontId="1" type="noConversion"/>
  </si>
  <si>
    <t>2006-2008</t>
    <phoneticPr fontId="1" type="noConversion"/>
  </si>
  <si>
    <t>2004-2008</t>
    <phoneticPr fontId="1" type="noConversion"/>
  </si>
  <si>
    <t>2005-2007</t>
    <phoneticPr fontId="1" type="noConversion"/>
  </si>
  <si>
    <t>2004-2006</t>
    <phoneticPr fontId="1" type="noConversion"/>
  </si>
  <si>
    <t>投資期限  三  年         平均年化報酬率</t>
    <phoneticPr fontId="1" type="noConversion"/>
  </si>
  <si>
    <t>投資期限  五  年         平均年化報酬率</t>
    <phoneticPr fontId="1" type="noConversion"/>
  </si>
  <si>
    <t>投資期限  十  年         平均年化報酬率</t>
    <phoneticPr fontId="1" type="noConversion"/>
  </si>
  <si>
    <t>統計</t>
    <phoneticPr fontId="7" type="noConversion"/>
  </si>
  <si>
    <t>年初買進+年底賣出</t>
    <phoneticPr fontId="7" type="noConversion"/>
  </si>
  <si>
    <t>7700點&amp;年初買進+年底賣出</t>
    <phoneticPr fontId="7" type="noConversion"/>
  </si>
  <si>
    <t>8000點&amp;年初買進+年底賣出</t>
    <phoneticPr fontId="1" type="noConversion"/>
  </si>
  <si>
    <t>8300點&amp;年初買進+年底賣出</t>
    <phoneticPr fontId="1" type="noConversion"/>
  </si>
  <si>
    <t>0050單年度報酬率</t>
    <phoneticPr fontId="1" type="noConversion"/>
  </si>
  <si>
    <t>若年初時間點,台股加權指數在7700點以下 跟以前一樣直接買進股票。若高於7700點則先不買。</t>
    <phoneticPr fontId="1" type="noConversion"/>
  </si>
  <si>
    <t>若年初時間點,台股加權指數在8000點以下 跟以前一樣直接買進股票。若高於8000點則先不買。</t>
    <phoneticPr fontId="1" type="noConversion"/>
  </si>
  <si>
    <t>若年初時間點,台股加權指數在8300點以下 跟以前一樣直接買進股票。若高於8300點則先不買。</t>
    <phoneticPr fontId="1" type="noConversion"/>
  </si>
  <si>
    <t>0050 ETF上市日期 2003/6/30                                                                                                                                                                                                                                                                              說明：（股息;本金於隔年第一個交易日再投入）每年開盤第一個交易日收盤價買進,每年最後一個交易日收盤價賣出。</t>
    <phoneticPr fontId="1" type="noConversion"/>
  </si>
  <si>
    <t>股票代號</t>
    <phoneticPr fontId="1" type="noConversion"/>
  </si>
  <si>
    <t>公司名稱</t>
    <phoneticPr fontId="1" type="noConversion"/>
  </si>
  <si>
    <t>賣出</t>
    <phoneticPr fontId="1" type="noConversion"/>
  </si>
  <si>
    <t>93
買進</t>
  </si>
  <si>
    <t>賣出</t>
  </si>
  <si>
    <t>94
買進</t>
  </si>
  <si>
    <t>95
買進</t>
  </si>
  <si>
    <t>96
買進</t>
  </si>
  <si>
    <t>97
買進</t>
  </si>
  <si>
    <t>98
買進</t>
  </si>
  <si>
    <t>99
買進</t>
  </si>
  <si>
    <t>100
買進</t>
  </si>
  <si>
    <t>101
買進</t>
  </si>
  <si>
    <t>102
買進</t>
  </si>
  <si>
    <t>103
買進</t>
  </si>
  <si>
    <t>104
買進</t>
  </si>
  <si>
    <t>105
買進</t>
  </si>
  <si>
    <t>106
買進</t>
    <phoneticPr fontId="1" type="noConversion"/>
  </si>
  <si>
    <t>107
買進</t>
    <phoneticPr fontId="1" type="noConversion"/>
  </si>
  <si>
    <t>108
買進</t>
    <phoneticPr fontId="1" type="noConversion"/>
  </si>
  <si>
    <t>109
買進</t>
    <phoneticPr fontId="1" type="noConversion"/>
  </si>
  <si>
    <t>110
買進</t>
    <phoneticPr fontId="1" type="noConversion"/>
  </si>
  <si>
    <t>2308</t>
    <phoneticPr fontId="1" type="noConversion"/>
  </si>
  <si>
    <t>2317</t>
    <phoneticPr fontId="1" type="noConversion"/>
  </si>
  <si>
    <t>2325</t>
    <phoneticPr fontId="1" type="noConversion"/>
  </si>
  <si>
    <t>2330</t>
    <phoneticPr fontId="1" type="noConversion"/>
  </si>
  <si>
    <t>2382</t>
    <phoneticPr fontId="1" type="noConversion"/>
  </si>
  <si>
    <t>2412</t>
    <phoneticPr fontId="1" type="noConversion"/>
  </si>
  <si>
    <t>3045</t>
    <phoneticPr fontId="1" type="noConversion"/>
  </si>
  <si>
    <t>1301</t>
    <phoneticPr fontId="1" type="noConversion"/>
  </si>
  <si>
    <t>2105</t>
    <phoneticPr fontId="1" type="noConversion"/>
  </si>
  <si>
    <t>2881</t>
    <phoneticPr fontId="1" type="noConversion"/>
  </si>
  <si>
    <t>2882</t>
    <phoneticPr fontId="1" type="noConversion"/>
  </si>
  <si>
    <t>1216</t>
    <phoneticPr fontId="1" type="noConversion"/>
  </si>
  <si>
    <t>2311</t>
    <phoneticPr fontId="1" type="noConversion"/>
  </si>
  <si>
    <t>1326</t>
  </si>
  <si>
    <t>台化</t>
  </si>
  <si>
    <t>1303</t>
    <phoneticPr fontId="1" type="noConversion"/>
  </si>
  <si>
    <t>2912</t>
    <phoneticPr fontId="1" type="noConversion"/>
  </si>
  <si>
    <t>2886</t>
    <phoneticPr fontId="1" type="noConversion"/>
  </si>
  <si>
    <t>2892</t>
    <phoneticPr fontId="1" type="noConversion"/>
  </si>
  <si>
    <t>6505</t>
  </si>
  <si>
    <t>台塑化</t>
  </si>
  <si>
    <t>4904</t>
    <phoneticPr fontId="1" type="noConversion"/>
  </si>
  <si>
    <t xml:space="preserve">92
</t>
    <phoneticPr fontId="1" type="noConversion"/>
  </si>
  <si>
    <t>96
1/10</t>
    <phoneticPr fontId="1" type="noConversion"/>
  </si>
  <si>
    <t>97
1/22</t>
    <phoneticPr fontId="1" type="noConversion"/>
  </si>
  <si>
    <t>99
1/26</t>
    <phoneticPr fontId="1" type="noConversion"/>
  </si>
  <si>
    <t>100
8/8</t>
    <phoneticPr fontId="1" type="noConversion"/>
  </si>
  <si>
    <t>102
1/16</t>
    <phoneticPr fontId="1" type="noConversion"/>
  </si>
  <si>
    <t>104
8/24</t>
    <phoneticPr fontId="1" type="noConversion"/>
  </si>
  <si>
    <t>105
1/20</t>
    <phoneticPr fontId="1" type="noConversion"/>
  </si>
  <si>
    <t>96
買進</t>
    <phoneticPr fontId="16" type="noConversion"/>
  </si>
  <si>
    <t>97
1/8</t>
    <phoneticPr fontId="1" type="noConversion"/>
  </si>
  <si>
    <t>99
1/22</t>
    <phoneticPr fontId="1" type="noConversion"/>
  </si>
  <si>
    <t>100
8/5</t>
    <phoneticPr fontId="1" type="noConversion"/>
  </si>
  <si>
    <t>104
8/21</t>
    <phoneticPr fontId="1" type="noConversion"/>
  </si>
  <si>
    <t>105
1/6</t>
    <phoneticPr fontId="1" type="noConversion"/>
  </si>
  <si>
    <t>96
買進</t>
    <phoneticPr fontId="7" type="noConversion"/>
  </si>
  <si>
    <t>97
1/3</t>
    <phoneticPr fontId="1" type="noConversion"/>
  </si>
  <si>
    <t xml:space="preserve">103    2/5
</t>
    <phoneticPr fontId="7" type="noConversion"/>
  </si>
  <si>
    <t>104
8/12</t>
    <phoneticPr fontId="1" type="noConversion"/>
  </si>
  <si>
    <t>105
買進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</si>
</sst>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#,##0_ "/>
  </numFmts>
  <fonts count="46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color indexed="22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name val="微軟正黑體"/>
      <family val="2"/>
      <charset val="136"/>
    </font>
    <font>
      <sz val="10"/>
      <name val="微軟正黑體"/>
      <family val="2"/>
      <charset val="136"/>
    </font>
    <font>
      <sz val="9"/>
      <name val="新細明體"/>
      <family val="1"/>
      <charset val="136"/>
    </font>
    <font>
      <sz val="11"/>
      <color indexed="8"/>
      <name val="新細明體"/>
      <family val="1"/>
      <charset val="136"/>
    </font>
    <font>
      <sz val="11"/>
      <color indexed="8"/>
      <name val="微軟正黑體"/>
      <family val="2"/>
      <charset val="136"/>
    </font>
    <font>
      <sz val="12"/>
      <color indexed="9"/>
      <name val="微軟正黑體"/>
      <family val="2"/>
      <charset val="136"/>
    </font>
    <font>
      <sz val="10"/>
      <color indexed="60"/>
      <name val="微軟正黑體"/>
      <family val="2"/>
      <charset val="136"/>
    </font>
    <font>
      <sz val="10"/>
      <color indexed="9"/>
      <name val="微軟正黑體"/>
      <family val="2"/>
      <charset val="136"/>
    </font>
    <font>
      <sz val="10"/>
      <color indexed="63"/>
      <name val="微軟正黑體"/>
      <family val="2"/>
      <charset val="136"/>
    </font>
    <font>
      <sz val="10"/>
      <color indexed="36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9"/>
      <name val="新細明體"/>
      <family val="1"/>
      <charset val="136"/>
    </font>
    <font>
      <b/>
      <sz val="16"/>
      <color indexed="8"/>
      <name val="微軟正黑體"/>
      <family val="2"/>
      <charset val="136"/>
    </font>
    <font>
      <b/>
      <sz val="20"/>
      <color indexed="10"/>
      <name val="微軟正黑體"/>
      <family val="2"/>
      <charset val="136"/>
    </font>
    <font>
      <b/>
      <sz val="20"/>
      <color indexed="17"/>
      <name val="微軟正黑體"/>
      <family val="2"/>
      <charset val="136"/>
    </font>
    <font>
      <b/>
      <sz val="20"/>
      <color indexed="53"/>
      <name val="微軟正黑體"/>
      <family val="2"/>
      <charset val="136"/>
    </font>
    <font>
      <b/>
      <sz val="20"/>
      <color indexed="30"/>
      <name val="微軟正黑體"/>
      <family val="2"/>
      <charset val="136"/>
    </font>
    <font>
      <b/>
      <sz val="20"/>
      <color indexed="36"/>
      <name val="微軟正黑體"/>
      <family val="2"/>
      <charset val="136"/>
    </font>
    <font>
      <sz val="10"/>
      <color indexed="22"/>
      <name val="微軟正黑體"/>
      <family val="2"/>
      <charset val="136"/>
    </font>
    <font>
      <b/>
      <sz val="10"/>
      <color indexed="36"/>
      <name val="微軟正黑體"/>
      <family val="2"/>
      <charset val="136"/>
    </font>
    <font>
      <sz val="10"/>
      <color indexed="54"/>
      <name val="微軟正黑體"/>
      <family val="2"/>
      <charset val="136"/>
    </font>
    <font>
      <sz val="10"/>
      <color indexed="53"/>
      <name val="微軟正黑體"/>
      <family val="2"/>
      <charset val="136"/>
    </font>
    <font>
      <sz val="11"/>
      <color indexed="8"/>
      <name val="新細明體"/>
      <family val="1"/>
      <charset val="136"/>
    </font>
    <font>
      <b/>
      <sz val="11"/>
      <color indexed="8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name val="新細明體"/>
      <family val="1"/>
      <charset val="136"/>
      <scheme val="minor"/>
    </font>
    <font>
      <sz val="11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rgb="FF7030A0"/>
      <name val="微軟正黑體"/>
      <family val="2"/>
      <charset val="136"/>
    </font>
    <font>
      <b/>
      <sz val="16"/>
      <color theme="4" tint="0.7999816888943144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8" tint="-0.249977111117893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b/>
      <sz val="12"/>
      <color theme="4" tint="-0.249977111117893"/>
      <name val="微軟正黑體"/>
      <family val="2"/>
      <charset val="136"/>
    </font>
    <font>
      <b/>
      <sz val="16"/>
      <color theme="0"/>
      <name val="微軟正黑體"/>
      <family val="2"/>
      <charset val="136"/>
    </font>
    <font>
      <sz val="11"/>
      <color theme="0" tint="-4.9989318521683403E-2"/>
      <name val="微軟正黑體"/>
      <family val="2"/>
      <charset val="136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3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0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 wrapText="1"/>
    </xf>
    <xf numFmtId="0" fontId="9" fillId="2" borderId="1" xfId="0" applyFont="1" applyFill="1" applyBorder="1" applyAlignment="1">
      <alignment horizontal="right" vertical="center"/>
    </xf>
    <xf numFmtId="10" fontId="11" fillId="2" borderId="1" xfId="0" applyNumberFormat="1" applyFont="1" applyFill="1" applyBorder="1" applyAlignment="1">
      <alignment horizontal="right" vertical="center" wrapText="1"/>
    </xf>
    <xf numFmtId="10" fontId="12" fillId="3" borderId="1" xfId="0" applyNumberFormat="1" applyFont="1" applyFill="1" applyBorder="1" applyAlignment="1">
      <alignment horizontal="right" vertical="center" wrapText="1"/>
    </xf>
    <xf numFmtId="10" fontId="13" fillId="2" borderId="1" xfId="0" applyNumberFormat="1" applyFont="1" applyFill="1" applyBorder="1" applyAlignment="1">
      <alignment horizontal="right"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2" fillId="3" borderId="2" xfId="0" applyNumberFormat="1" applyFont="1" applyFill="1" applyBorder="1" applyAlignment="1">
      <alignment vertical="center" wrapText="1"/>
    </xf>
    <xf numFmtId="10" fontId="15" fillId="3" borderId="3" xfId="0" applyNumberFormat="1" applyFont="1" applyFill="1" applyBorder="1" applyAlignment="1">
      <alignment horizontal="right" vertical="center" wrapText="1"/>
    </xf>
    <xf numFmtId="10" fontId="15" fillId="3" borderId="4" xfId="0" applyNumberFormat="1" applyFont="1" applyFill="1" applyBorder="1" applyAlignment="1">
      <alignment horizontal="right" vertical="center" wrapText="1"/>
    </xf>
    <xf numFmtId="10" fontId="15" fillId="3" borderId="0" xfId="0" applyNumberFormat="1" applyFont="1" applyFill="1" applyBorder="1" applyAlignment="1">
      <alignment horizontal="right" vertical="center" wrapText="1"/>
    </xf>
    <xf numFmtId="10" fontId="15" fillId="3" borderId="5" xfId="0" applyNumberFormat="1" applyFont="1" applyFill="1" applyBorder="1" applyAlignment="1">
      <alignment horizontal="right" vertical="center" wrapText="1"/>
    </xf>
    <xf numFmtId="0" fontId="6" fillId="5" borderId="6" xfId="0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left" vertical="center" wrapText="1"/>
    </xf>
    <xf numFmtId="49" fontId="10" fillId="6" borderId="1" xfId="0" applyNumberFormat="1" applyFont="1" applyFill="1" applyBorder="1" applyAlignment="1">
      <alignment horizontal="right" vertical="center" wrapText="1"/>
    </xf>
    <xf numFmtId="49" fontId="9" fillId="2" borderId="1" xfId="0" applyNumberFormat="1" applyFont="1" applyFill="1" applyBorder="1" applyAlignment="1">
      <alignment horizontal="left"/>
    </xf>
    <xf numFmtId="49" fontId="8" fillId="0" borderId="0" xfId="0" applyNumberFormat="1" applyFont="1" applyFill="1" applyAlignment="1">
      <alignment horizontal="left" vertical="center" wrapText="1"/>
    </xf>
    <xf numFmtId="0" fontId="8" fillId="0" borderId="0" xfId="0" applyFont="1" applyAlignment="1">
      <alignment horizontal="right" vertical="center" wrapText="1"/>
    </xf>
    <xf numFmtId="49" fontId="8" fillId="0" borderId="0" xfId="0" applyNumberFormat="1" applyFont="1" applyAlignment="1">
      <alignment horizontal="left" vertical="center" wrapText="1"/>
    </xf>
    <xf numFmtId="49" fontId="10" fillId="6" borderId="7" xfId="0" applyNumberFormat="1" applyFont="1" applyFill="1" applyBorder="1" applyAlignment="1">
      <alignment horizontal="right" vertical="center" wrapText="1"/>
    </xf>
    <xf numFmtId="0" fontId="27" fillId="0" borderId="0" xfId="0" applyFont="1">
      <alignment vertical="center"/>
    </xf>
    <xf numFmtId="49" fontId="9" fillId="2" borderId="8" xfId="0" applyNumberFormat="1" applyFont="1" applyFill="1" applyBorder="1" applyAlignment="1">
      <alignment horizontal="left"/>
    </xf>
    <xf numFmtId="0" fontId="9" fillId="2" borderId="8" xfId="0" applyFont="1" applyFill="1" applyBorder="1" applyAlignment="1">
      <alignment horizontal="right" vertical="center"/>
    </xf>
    <xf numFmtId="0" fontId="15" fillId="0" borderId="0" xfId="0" applyFont="1" applyAlignment="1">
      <alignment vertical="center"/>
    </xf>
    <xf numFmtId="10" fontId="15" fillId="0" borderId="0" xfId="0" applyNumberFormat="1" applyFont="1">
      <alignment vertical="center"/>
    </xf>
    <xf numFmtId="0" fontId="24" fillId="0" borderId="0" xfId="0" applyFont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7" borderId="9" xfId="0" applyFont="1" applyFill="1" applyBorder="1" applyAlignment="1">
      <alignment horizontal="center" vertical="center" wrapText="1"/>
    </xf>
    <xf numFmtId="10" fontId="15" fillId="8" borderId="10" xfId="0" applyNumberFormat="1" applyFont="1" applyFill="1" applyBorder="1" applyAlignment="1">
      <alignment horizontal="center" vertical="center" wrapText="1"/>
    </xf>
    <xf numFmtId="49" fontId="11" fillId="2" borderId="10" xfId="0" applyNumberFormat="1" applyFont="1" applyFill="1" applyBorder="1" applyAlignment="1">
      <alignment horizontal="center" vertical="center" wrapText="1"/>
    </xf>
    <xf numFmtId="49" fontId="13" fillId="2" borderId="10" xfId="0" applyNumberFormat="1" applyFont="1" applyFill="1" applyBorder="1" applyAlignment="1">
      <alignment horizontal="center" vertical="center" wrapText="1"/>
    </xf>
    <xf numFmtId="49" fontId="25" fillId="2" borderId="10" xfId="0" applyNumberFormat="1" applyFont="1" applyFill="1" applyBorder="1" applyAlignment="1">
      <alignment horizontal="center" vertical="center" wrapText="1"/>
    </xf>
    <xf numFmtId="49" fontId="14" fillId="2" borderId="10" xfId="0" applyNumberFormat="1" applyFont="1" applyFill="1" applyBorder="1" applyAlignment="1">
      <alignment horizontal="center" vertical="center" wrapText="1"/>
    </xf>
    <xf numFmtId="49" fontId="14" fillId="2" borderId="11" xfId="0" applyNumberFormat="1" applyFont="1" applyFill="1" applyBorder="1" applyAlignment="1">
      <alignment horizontal="center" vertical="center" wrapText="1"/>
    </xf>
    <xf numFmtId="0" fontId="12" fillId="7" borderId="12" xfId="0" applyNumberFormat="1" applyFont="1" applyFill="1" applyBorder="1" applyAlignment="1">
      <alignment horizontal="center" vertical="center" wrapText="1"/>
    </xf>
    <xf numFmtId="10" fontId="15" fillId="8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49" fontId="12" fillId="7" borderId="12" xfId="0" applyNumberFormat="1" applyFont="1" applyFill="1" applyBorder="1" applyAlignment="1">
      <alignment horizontal="center" vertical="center" wrapText="1"/>
    </xf>
    <xf numFmtId="0" fontId="26" fillId="3" borderId="13" xfId="0" applyFont="1" applyFill="1" applyBorder="1" applyAlignment="1">
      <alignment horizontal="center" vertical="center"/>
    </xf>
    <xf numFmtId="0" fontId="26" fillId="3" borderId="14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10" fontId="15" fillId="2" borderId="1" xfId="0" applyNumberFormat="1" applyFont="1" applyFill="1" applyBorder="1" applyAlignment="1">
      <alignment horizontal="right" vertical="center" wrapText="1"/>
    </xf>
    <xf numFmtId="49" fontId="23" fillId="7" borderId="12" xfId="0" applyNumberFormat="1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left" vertical="center" wrapText="1"/>
    </xf>
    <xf numFmtId="49" fontId="6" fillId="5" borderId="15" xfId="0" applyNumberFormat="1" applyFont="1" applyFill="1" applyBorder="1" applyAlignment="1">
      <alignment horizontal="center" vertical="center" wrapText="1"/>
    </xf>
    <xf numFmtId="10" fontId="6" fillId="5" borderId="6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10" fontId="15" fillId="0" borderId="0" xfId="0" applyNumberFormat="1" applyFont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0" fillId="10" borderId="1" xfId="0" applyFont="1" applyFill="1" applyBorder="1" applyAlignment="1" applyProtection="1">
      <alignment horizontal="center" vertical="center" wrapText="1"/>
      <protection locked="0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1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6" borderId="7" xfId="0" applyFont="1" applyFill="1" applyBorder="1" applyAlignment="1" applyProtection="1">
      <alignment horizontal="center" vertical="center" wrapText="1"/>
      <protection locked="0"/>
    </xf>
    <xf numFmtId="0" fontId="10" fillId="3" borderId="7" xfId="0" applyFont="1" applyFill="1" applyBorder="1" applyAlignment="1" applyProtection="1">
      <alignment horizontal="center" vertical="center" wrapText="1"/>
      <protection locked="0"/>
    </xf>
    <xf numFmtId="0" fontId="10" fillId="11" borderId="7" xfId="0" applyFont="1" applyFill="1" applyBorder="1" applyAlignment="1" applyProtection="1">
      <alignment horizontal="center" vertical="center" wrapText="1"/>
      <protection locked="0"/>
    </xf>
    <xf numFmtId="0" fontId="10" fillId="10" borderId="7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</xf>
    <xf numFmtId="10" fontId="2" fillId="0" borderId="0" xfId="0" applyNumberFormat="1" applyFont="1" applyProtection="1">
      <alignment vertical="center"/>
    </xf>
    <xf numFmtId="0" fontId="3" fillId="0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2" fillId="0" borderId="0" xfId="0" applyFont="1" applyProtection="1">
      <alignment vertical="center"/>
    </xf>
    <xf numFmtId="0" fontId="2" fillId="12" borderId="9" xfId="0" applyFont="1" applyFill="1" applyBorder="1" applyAlignment="1" applyProtection="1">
      <alignment horizontal="center" vertical="center"/>
    </xf>
    <xf numFmtId="0" fontId="4" fillId="12" borderId="10" xfId="0" applyFont="1" applyFill="1" applyBorder="1" applyAlignment="1" applyProtection="1">
      <alignment horizontal="center" vertical="center" wrapText="1"/>
    </xf>
    <xf numFmtId="0" fontId="4" fillId="12" borderId="10" xfId="0" applyFont="1" applyFill="1" applyBorder="1" applyAlignment="1" applyProtection="1">
      <alignment horizontal="center" vertical="center"/>
    </xf>
    <xf numFmtId="38" fontId="4" fillId="12" borderId="10" xfId="0" applyNumberFormat="1" applyFont="1" applyFill="1" applyBorder="1" applyAlignment="1" applyProtection="1">
      <alignment horizontal="center" vertical="center"/>
    </xf>
    <xf numFmtId="10" fontId="4" fillId="12" borderId="11" xfId="0" applyNumberFormat="1" applyFont="1" applyFill="1" applyBorder="1" applyAlignment="1" applyProtection="1">
      <alignment horizontal="center" vertical="center"/>
    </xf>
    <xf numFmtId="0" fontId="2" fillId="12" borderId="12" xfId="0" applyFont="1" applyFill="1" applyBorder="1" applyAlignment="1" applyProtection="1">
      <alignment horizontal="center" vertical="center"/>
    </xf>
    <xf numFmtId="38" fontId="2" fillId="0" borderId="1" xfId="0" applyNumberFormat="1" applyFont="1" applyBorder="1" applyProtection="1">
      <alignment vertical="center"/>
    </xf>
    <xf numFmtId="10" fontId="2" fillId="0" borderId="2" xfId="0" applyNumberFormat="1" applyFont="1" applyBorder="1" applyProtection="1">
      <alignment vertical="center"/>
    </xf>
    <xf numFmtId="0" fontId="2" fillId="0" borderId="16" xfId="0" applyFont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6" xfId="0" applyFont="1" applyFill="1" applyBorder="1" applyProtection="1">
      <alignment vertical="center"/>
    </xf>
    <xf numFmtId="0" fontId="2" fillId="0" borderId="16" xfId="0" applyFont="1" applyBorder="1" applyProtection="1">
      <alignment vertical="center"/>
    </xf>
    <xf numFmtId="10" fontId="2" fillId="0" borderId="16" xfId="0" applyNumberFormat="1" applyFont="1" applyBorder="1" applyProtection="1">
      <alignment vertical="center"/>
    </xf>
    <xf numFmtId="0" fontId="2" fillId="0" borderId="17" xfId="0" applyFont="1" applyBorder="1" applyProtection="1">
      <alignment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Protection="1">
      <alignment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left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0" fontId="9" fillId="2" borderId="1" xfId="0" quotePrefix="1" applyFont="1" applyFill="1" applyBorder="1" applyAlignment="1" applyProtection="1">
      <alignment horizontal="left"/>
      <protection locked="0"/>
    </xf>
    <xf numFmtId="0" fontId="9" fillId="0" borderId="1" xfId="0" applyFont="1" applyFill="1" applyBorder="1" applyAlignment="1" applyProtection="1">
      <alignment horizontal="left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38" fontId="2" fillId="0" borderId="1" xfId="0" applyNumberFormat="1" applyFont="1" applyFill="1" applyBorder="1" applyProtection="1">
      <alignment vertical="center"/>
      <protection locked="0"/>
    </xf>
    <xf numFmtId="0" fontId="15" fillId="3" borderId="14" xfId="0" applyFont="1" applyFill="1" applyBorder="1">
      <alignment vertical="center"/>
    </xf>
    <xf numFmtId="0" fontId="15" fillId="3" borderId="0" xfId="0" applyFont="1" applyFill="1" applyBorder="1">
      <alignment vertical="center"/>
    </xf>
    <xf numFmtId="0" fontId="15" fillId="3" borderId="5" xfId="0" applyFont="1" applyFill="1" applyBorder="1">
      <alignment vertical="center"/>
    </xf>
    <xf numFmtId="10" fontId="31" fillId="3" borderId="1" xfId="0" applyNumberFormat="1" applyFont="1" applyFill="1" applyBorder="1" applyAlignment="1">
      <alignment horizontal="right" vertical="center" wrapText="1"/>
    </xf>
    <xf numFmtId="0" fontId="11" fillId="14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10" fontId="11" fillId="14" borderId="1" xfId="0" applyNumberFormat="1" applyFont="1" applyFill="1" applyBorder="1" applyAlignment="1">
      <alignment horizontal="right" vertical="center" wrapText="1"/>
    </xf>
    <xf numFmtId="10" fontId="15" fillId="14" borderId="1" xfId="0" applyNumberFormat="1" applyFont="1" applyFill="1" applyBorder="1" applyAlignment="1">
      <alignment horizontal="right" vertical="center" wrapText="1"/>
    </xf>
    <xf numFmtId="10" fontId="14" fillId="14" borderId="1" xfId="0" applyNumberFormat="1" applyFont="1" applyFill="1" applyBorder="1" applyAlignment="1">
      <alignment vertical="center" wrapText="1"/>
    </xf>
    <xf numFmtId="10" fontId="6" fillId="15" borderId="1" xfId="0" applyNumberFormat="1" applyFont="1" applyFill="1" applyBorder="1" applyAlignment="1">
      <alignment horizontal="right" vertical="center" wrapText="1"/>
    </xf>
    <xf numFmtId="10" fontId="31" fillId="16" borderId="1" xfId="0" applyNumberFormat="1" applyFont="1" applyFill="1" applyBorder="1" applyAlignment="1">
      <alignment horizontal="center" vertical="center"/>
    </xf>
    <xf numFmtId="10" fontId="31" fillId="16" borderId="1" xfId="0" applyNumberFormat="1" applyFont="1" applyFill="1" applyBorder="1" applyAlignment="1">
      <alignment horizontal="right" vertical="center" wrapText="1"/>
    </xf>
    <xf numFmtId="10" fontId="31" fillId="16" borderId="1" xfId="0" applyNumberFormat="1" applyFont="1" applyFill="1" applyBorder="1">
      <alignment vertical="center"/>
    </xf>
    <xf numFmtId="10" fontId="31" fillId="17" borderId="1" xfId="0" applyNumberFormat="1" applyFont="1" applyFill="1" applyBorder="1">
      <alignment vertical="center"/>
    </xf>
    <xf numFmtId="10" fontId="31" fillId="17" borderId="10" xfId="0" applyNumberFormat="1" applyFont="1" applyFill="1" applyBorder="1" applyAlignment="1">
      <alignment horizontal="center" vertical="center" wrapText="1"/>
    </xf>
    <xf numFmtId="10" fontId="31" fillId="17" borderId="1" xfId="0" applyNumberFormat="1" applyFont="1" applyFill="1" applyBorder="1" applyAlignment="1">
      <alignment horizontal="center" vertical="center"/>
    </xf>
    <xf numFmtId="10" fontId="31" fillId="17" borderId="1" xfId="0" applyNumberFormat="1" applyFont="1" applyFill="1" applyBorder="1" applyAlignment="1">
      <alignment horizontal="center" vertical="center" wrapText="1"/>
    </xf>
    <xf numFmtId="10" fontId="6" fillId="18" borderId="1" xfId="0" applyNumberFormat="1" applyFont="1" applyFill="1" applyBorder="1" applyAlignment="1">
      <alignment horizontal="center" vertical="center"/>
    </xf>
    <xf numFmtId="10" fontId="6" fillId="18" borderId="1" xfId="0" applyNumberFormat="1" applyFont="1" applyFill="1" applyBorder="1" applyAlignment="1">
      <alignment horizontal="right" vertical="center" wrapText="1"/>
    </xf>
    <xf numFmtId="10" fontId="6" fillId="18" borderId="1" xfId="0" applyNumberFormat="1" applyFont="1" applyFill="1" applyBorder="1">
      <alignment vertical="center"/>
    </xf>
    <xf numFmtId="10" fontId="32" fillId="18" borderId="1" xfId="0" applyNumberFormat="1" applyFont="1" applyFill="1" applyBorder="1">
      <alignment vertical="center"/>
    </xf>
    <xf numFmtId="10" fontId="14" fillId="19" borderId="1" xfId="0" applyNumberFormat="1" applyFont="1" applyFill="1" applyBorder="1" applyAlignment="1">
      <alignment vertical="center" wrapText="1"/>
    </xf>
    <xf numFmtId="10" fontId="15" fillId="20" borderId="1" xfId="0" applyNumberFormat="1" applyFont="1" applyFill="1" applyBorder="1">
      <alignment vertical="center"/>
    </xf>
    <xf numFmtId="10" fontId="6" fillId="20" borderId="1" xfId="0" applyNumberFormat="1" applyFont="1" applyFill="1" applyBorder="1">
      <alignment vertical="center"/>
    </xf>
    <xf numFmtId="10" fontId="31" fillId="21" borderId="1" xfId="0" applyNumberFormat="1" applyFont="1" applyFill="1" applyBorder="1" applyAlignment="1">
      <alignment horizontal="right" vertical="center" wrapText="1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9" fillId="14" borderId="1" xfId="0" applyFont="1" applyFill="1" applyBorder="1" applyAlignment="1">
      <alignment horizontal="right" vertical="center"/>
    </xf>
    <xf numFmtId="0" fontId="0" fillId="14" borderId="1" xfId="0" applyFill="1" applyBorder="1" applyProtection="1">
      <alignment vertical="center"/>
      <protection locked="0"/>
    </xf>
    <xf numFmtId="0" fontId="0" fillId="22" borderId="1" xfId="0" applyFill="1" applyBorder="1" applyProtection="1">
      <alignment vertical="center"/>
      <protection locked="0"/>
    </xf>
    <xf numFmtId="0" fontId="0" fillId="21" borderId="1" xfId="0" applyFill="1" applyBorder="1" applyProtection="1">
      <alignment vertical="center"/>
      <protection locked="0"/>
    </xf>
    <xf numFmtId="0" fontId="9" fillId="19" borderId="1" xfId="0" applyFont="1" applyFill="1" applyBorder="1" applyAlignment="1">
      <alignment horizontal="right" vertical="center"/>
    </xf>
    <xf numFmtId="0" fontId="0" fillId="19" borderId="1" xfId="0" applyFill="1" applyBorder="1" applyProtection="1">
      <alignment vertical="center"/>
      <protection locked="0"/>
    </xf>
    <xf numFmtId="0" fontId="0" fillId="14" borderId="0" xfId="0" applyFill="1" applyProtection="1">
      <alignment vertical="center"/>
      <protection locked="0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49" fontId="9" fillId="14" borderId="1" xfId="0" applyNumberFormat="1" applyFont="1" applyFill="1" applyBorder="1" applyAlignment="1">
      <alignment horizontal="left"/>
    </xf>
    <xf numFmtId="49" fontId="9" fillId="14" borderId="1" xfId="0" applyNumberFormat="1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164" fontId="33" fillId="23" borderId="1" xfId="0" applyNumberFormat="1" applyFont="1" applyFill="1" applyBorder="1" applyAlignment="1" applyProtection="1">
      <alignment vertical="center"/>
      <protection locked="0"/>
    </xf>
    <xf numFmtId="164" fontId="33" fillId="0" borderId="1" xfId="0" applyNumberFormat="1" applyFont="1" applyBorder="1" applyAlignment="1" applyProtection="1">
      <alignment vertical="center"/>
      <protection locked="0"/>
    </xf>
    <xf numFmtId="164" fontId="33" fillId="14" borderId="1" xfId="0" applyNumberFormat="1" applyFont="1" applyFill="1" applyBorder="1" applyAlignment="1" applyProtection="1">
      <alignment vertical="center"/>
      <protection locked="0"/>
    </xf>
    <xf numFmtId="0" fontId="33" fillId="23" borderId="1" xfId="0" applyFont="1" applyFill="1" applyBorder="1" applyAlignment="1" applyProtection="1">
      <alignment vertical="center"/>
      <protection locked="0"/>
    </xf>
    <xf numFmtId="164" fontId="33" fillId="23" borderId="1" xfId="0" applyNumberFormat="1" applyFont="1" applyFill="1" applyBorder="1" applyAlignment="1" applyProtection="1">
      <alignment vertical="center" wrapText="1"/>
      <protection locked="0"/>
    </xf>
    <xf numFmtId="164" fontId="33" fillId="2" borderId="1" xfId="0" applyNumberFormat="1" applyFont="1" applyFill="1" applyBorder="1" applyAlignment="1" applyProtection="1">
      <alignment vertical="center"/>
      <protection locked="0"/>
    </xf>
    <xf numFmtId="0" fontId="33" fillId="23" borderId="1" xfId="0" applyFont="1" applyFill="1" applyBorder="1" applyAlignment="1" applyProtection="1">
      <alignment vertical="center" wrapText="1"/>
      <protection locked="0"/>
    </xf>
    <xf numFmtId="164" fontId="33" fillId="0" borderId="1" xfId="0" applyNumberFormat="1" applyFont="1" applyFill="1" applyBorder="1" applyAlignment="1" applyProtection="1">
      <alignment vertical="center"/>
      <protection locked="0"/>
    </xf>
    <xf numFmtId="2" fontId="33" fillId="23" borderId="1" xfId="0" applyNumberFormat="1" applyFont="1" applyFill="1" applyBorder="1" applyAlignment="1" applyProtection="1">
      <alignment vertical="center"/>
      <protection locked="0"/>
    </xf>
    <xf numFmtId="2" fontId="33" fillId="0" borderId="1" xfId="0" applyNumberFormat="1" applyFont="1" applyBorder="1" applyAlignment="1" applyProtection="1">
      <alignment vertical="center"/>
      <protection locked="0"/>
    </xf>
    <xf numFmtId="164" fontId="33" fillId="19" borderId="1" xfId="0" applyNumberFormat="1" applyFont="1" applyFill="1" applyBorder="1" applyAlignment="1" applyProtection="1">
      <alignment vertical="center"/>
      <protection locked="0"/>
    </xf>
    <xf numFmtId="164" fontId="33" fillId="23" borderId="1" xfId="0" applyNumberFormat="1" applyFont="1" applyFill="1" applyBorder="1" applyAlignment="1" applyProtection="1">
      <alignment horizontal="right" vertical="center"/>
      <protection locked="0"/>
    </xf>
    <xf numFmtId="164" fontId="33" fillId="14" borderId="1" xfId="0" applyNumberFormat="1" applyFont="1" applyFill="1" applyBorder="1" applyAlignment="1" applyProtection="1">
      <alignment horizontal="right" vertical="center"/>
      <protection locked="0"/>
    </xf>
    <xf numFmtId="164" fontId="33" fillId="0" borderId="1" xfId="0" applyNumberFormat="1" applyFont="1" applyBorder="1" applyAlignment="1" applyProtection="1">
      <alignment horizontal="right" vertical="center"/>
      <protection locked="0"/>
    </xf>
    <xf numFmtId="0" fontId="33" fillId="23" borderId="1" xfId="0" applyFont="1" applyFill="1" applyBorder="1" applyAlignment="1" applyProtection="1">
      <alignment horizontal="right" vertical="center"/>
      <protection locked="0"/>
    </xf>
    <xf numFmtId="164" fontId="33" fillId="23" borderId="1" xfId="0" applyNumberFormat="1" applyFont="1" applyFill="1" applyBorder="1" applyAlignment="1" applyProtection="1">
      <alignment horizontal="right" vertical="center" wrapText="1"/>
      <protection locked="0"/>
    </xf>
    <xf numFmtId="10" fontId="15" fillId="20" borderId="10" xfId="0" applyNumberFormat="1" applyFont="1" applyFill="1" applyBorder="1" applyAlignment="1">
      <alignment horizontal="center" vertical="center" wrapText="1"/>
    </xf>
    <xf numFmtId="0" fontId="34" fillId="24" borderId="1" xfId="0" applyFont="1" applyFill="1" applyBorder="1">
      <alignment vertical="center"/>
    </xf>
    <xf numFmtId="0" fontId="34" fillId="24" borderId="20" xfId="0" applyFont="1" applyFill="1" applyBorder="1">
      <alignment vertical="center"/>
    </xf>
    <xf numFmtId="0" fontId="34" fillId="25" borderId="1" xfId="0" applyFont="1" applyFill="1" applyBorder="1">
      <alignment vertical="center"/>
    </xf>
    <xf numFmtId="0" fontId="34" fillId="26" borderId="1" xfId="0" applyFont="1" applyFill="1" applyBorder="1" applyAlignment="1">
      <alignment horizontal="center" vertical="center"/>
    </xf>
    <xf numFmtId="0" fontId="34" fillId="26" borderId="1" xfId="0" applyFont="1" applyFill="1" applyBorder="1">
      <alignment vertical="center"/>
    </xf>
    <xf numFmtId="0" fontId="35" fillId="14" borderId="0" xfId="0" applyFont="1" applyFill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7" fillId="27" borderId="0" xfId="0" applyFont="1" applyFill="1" applyAlignment="1" applyProtection="1">
      <alignment horizontal="left" vertical="top"/>
    </xf>
    <xf numFmtId="0" fontId="37" fillId="27" borderId="0" xfId="0" applyFont="1" applyFill="1" applyProtection="1">
      <alignment vertical="center"/>
    </xf>
    <xf numFmtId="0" fontId="2" fillId="27" borderId="0" xfId="0" applyFont="1" applyFill="1" applyProtection="1">
      <alignment vertical="center"/>
    </xf>
    <xf numFmtId="0" fontId="37" fillId="27" borderId="0" xfId="0" applyFont="1" applyFill="1">
      <alignment vertical="center"/>
    </xf>
    <xf numFmtId="0" fontId="38" fillId="0" borderId="0" xfId="0" applyFont="1">
      <alignment vertical="center"/>
    </xf>
    <xf numFmtId="10" fontId="38" fillId="0" borderId="0" xfId="0" applyNumberFormat="1" applyFont="1">
      <alignment vertical="center"/>
    </xf>
    <xf numFmtId="0" fontId="2" fillId="0" borderId="0" xfId="0" applyFont="1" applyBorder="1" applyAlignment="1" applyProtection="1">
      <alignment horizontal="left" vertical="center"/>
    </xf>
    <xf numFmtId="165" fontId="2" fillId="0" borderId="0" xfId="0" applyNumberFormat="1" applyFont="1" applyBorder="1" applyProtection="1">
      <alignment vertical="center"/>
    </xf>
    <xf numFmtId="0" fontId="2" fillId="0" borderId="0" xfId="0" applyFont="1" applyBorder="1" applyProtection="1">
      <alignment vertical="center"/>
    </xf>
    <xf numFmtId="38" fontId="2" fillId="0" borderId="0" xfId="0" applyNumberFormat="1" applyFont="1" applyBorder="1" applyProtection="1">
      <alignment vertical="center"/>
    </xf>
    <xf numFmtId="0" fontId="39" fillId="0" borderId="0" xfId="0" applyFont="1">
      <alignment vertical="center"/>
    </xf>
    <xf numFmtId="0" fontId="40" fillId="17" borderId="0" xfId="0" applyFont="1" applyFill="1">
      <alignment vertical="center"/>
    </xf>
    <xf numFmtId="0" fontId="41" fillId="17" borderId="0" xfId="0" applyFont="1" applyFill="1">
      <alignment vertical="center"/>
    </xf>
    <xf numFmtId="0" fontId="42" fillId="0" borderId="0" xfId="0" applyFont="1">
      <alignment vertical="center"/>
    </xf>
    <xf numFmtId="0" fontId="12" fillId="3" borderId="0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44" fillId="27" borderId="0" xfId="0" applyFont="1" applyFill="1" applyAlignment="1">
      <alignment horizontal="left" vertical="center"/>
    </xf>
    <xf numFmtId="0" fontId="17" fillId="13" borderId="0" xfId="0" applyFont="1" applyFill="1" applyAlignment="1" applyProtection="1">
      <alignment horizontal="center" vertical="center"/>
    </xf>
    <xf numFmtId="0" fontId="2" fillId="0" borderId="21" xfId="0" applyFont="1" applyBorder="1" applyAlignment="1" applyProtection="1">
      <alignment horizontal="left" vertical="center"/>
    </xf>
    <xf numFmtId="0" fontId="2" fillId="0" borderId="22" xfId="0" applyFont="1" applyBorder="1" applyAlignment="1" applyProtection="1">
      <alignment horizontal="left" vertical="center"/>
    </xf>
    <xf numFmtId="0" fontId="2" fillId="0" borderId="23" xfId="0" applyFont="1" applyBorder="1" applyAlignment="1" applyProtection="1">
      <alignment horizontal="left" vertical="center"/>
    </xf>
    <xf numFmtId="0" fontId="45" fillId="17" borderId="3" xfId="0" applyFont="1" applyFill="1" applyBorder="1" applyAlignment="1">
      <alignment horizontal="center" vertical="center" wrapText="1"/>
    </xf>
    <xf numFmtId="0" fontId="45" fillId="17" borderId="0" xfId="0" applyFont="1" applyFill="1" applyBorder="1" applyAlignment="1">
      <alignment horizontal="center" vertical="center" wrapText="1"/>
    </xf>
    <xf numFmtId="0" fontId="34" fillId="24" borderId="7" xfId="0" applyFont="1" applyFill="1" applyBorder="1" applyAlignment="1">
      <alignment horizontal="center" vertical="center"/>
    </xf>
    <xf numFmtId="0" fontId="34" fillId="24" borderId="18" xfId="0" applyFont="1" applyFill="1" applyBorder="1" applyAlignment="1">
      <alignment horizontal="center" vertical="center"/>
    </xf>
    <xf numFmtId="0" fontId="34" fillId="25" borderId="1" xfId="0" applyFont="1" applyFill="1" applyBorder="1" applyAlignment="1">
      <alignment horizontal="center" vertical="center"/>
    </xf>
    <xf numFmtId="0" fontId="9" fillId="25" borderId="36" xfId="0" applyFont="1" applyFill="1" applyBorder="1" applyAlignment="1">
      <alignment horizontal="center" vertical="center"/>
    </xf>
    <xf numFmtId="0" fontId="9" fillId="25" borderId="37" xfId="0" applyFont="1" applyFill="1" applyBorder="1" applyAlignment="1">
      <alignment horizontal="center" vertical="center"/>
    </xf>
    <xf numFmtId="0" fontId="9" fillId="25" borderId="38" xfId="0" applyFont="1" applyFill="1" applyBorder="1" applyAlignment="1">
      <alignment horizontal="center" vertical="center"/>
    </xf>
    <xf numFmtId="0" fontId="9" fillId="25" borderId="34" xfId="0" applyFont="1" applyFill="1" applyBorder="1" applyAlignment="1">
      <alignment horizontal="center" vertical="center"/>
    </xf>
    <xf numFmtId="0" fontId="5" fillId="25" borderId="21" xfId="0" applyNumberFormat="1" applyFont="1" applyFill="1" applyBorder="1" applyAlignment="1">
      <alignment horizontal="center" vertical="center" wrapText="1"/>
    </xf>
    <xf numFmtId="0" fontId="5" fillId="25" borderId="23" xfId="0" applyNumberFormat="1" applyFont="1" applyFill="1" applyBorder="1" applyAlignment="1">
      <alignment horizontal="center" vertical="center" wrapText="1"/>
    </xf>
    <xf numFmtId="0" fontId="15" fillId="25" borderId="13" xfId="0" applyFont="1" applyFill="1" applyBorder="1" applyAlignment="1">
      <alignment horizontal="center" vertical="center" wrapText="1"/>
    </xf>
    <xf numFmtId="0" fontId="15" fillId="25" borderId="33" xfId="0" applyFont="1" applyFill="1" applyBorder="1" applyAlignment="1">
      <alignment horizontal="center" vertical="center" wrapText="1"/>
    </xf>
    <xf numFmtId="0" fontId="15" fillId="25" borderId="29" xfId="0" applyFont="1" applyFill="1" applyBorder="1" applyAlignment="1">
      <alignment horizontal="center" vertical="center" wrapText="1"/>
    </xf>
    <xf numFmtId="0" fontId="15" fillId="25" borderId="34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left" vertical="center" wrapText="1"/>
    </xf>
    <xf numFmtId="0" fontId="12" fillId="3" borderId="0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2" fillId="3" borderId="29" xfId="0" applyFont="1" applyFill="1" applyBorder="1" applyAlignment="1">
      <alignment horizontal="left" vertical="center" wrapText="1"/>
    </xf>
    <xf numFmtId="0" fontId="12" fillId="3" borderId="16" xfId="0" applyFont="1" applyFill="1" applyBorder="1" applyAlignment="1">
      <alignment horizontal="left" vertical="center" wrapText="1"/>
    </xf>
    <xf numFmtId="0" fontId="12" fillId="3" borderId="30" xfId="0" applyFont="1" applyFill="1" applyBorder="1" applyAlignment="1">
      <alignment horizontal="left" vertical="center" wrapText="1"/>
    </xf>
    <xf numFmtId="0" fontId="31" fillId="3" borderId="13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14" xfId="0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165" fontId="2" fillId="0" borderId="26" xfId="0" applyNumberFormat="1" applyFont="1" applyBorder="1" applyAlignment="1" applyProtection="1">
      <alignment vertical="center"/>
    </xf>
    <xf numFmtId="165" fontId="2" fillId="0" borderId="27" xfId="0" applyNumberFormat="1" applyFont="1" applyBorder="1" applyAlignment="1" applyProtection="1">
      <alignment vertical="center"/>
    </xf>
    <xf numFmtId="0" fontId="2" fillId="0" borderId="18" xfId="0" applyFont="1" applyBorder="1" applyAlignment="1" applyProtection="1">
      <alignment vertical="center"/>
    </xf>
    <xf numFmtId="10" fontId="2" fillId="0" borderId="26" xfId="0" applyNumberFormat="1" applyFont="1" applyBorder="1" applyAlignment="1" applyProtection="1">
      <alignment vertical="center"/>
    </xf>
    <xf numFmtId="10" fontId="2" fillId="0" borderId="28" xfId="0" applyNumberFormat="1" applyFont="1" applyBorder="1" applyAlignment="1" applyProtection="1">
      <alignment vertical="center"/>
    </xf>
    <xf numFmtId="165" fontId="2" fillId="0" borderId="24" xfId="0" applyNumberFormat="1" applyFont="1" applyBorder="1" applyAlignment="1" applyProtection="1">
      <alignment vertical="center"/>
    </xf>
    <xf numFmtId="0" fontId="2" fillId="0" borderId="23" xfId="0" applyFont="1" applyBorder="1" applyAlignment="1" applyProtection="1">
      <alignment vertical="center"/>
    </xf>
    <xf numFmtId="0" fontId="2" fillId="0" borderId="6" xfId="0" applyFont="1" applyBorder="1" applyAlignment="1" applyProtection="1">
      <alignment vertical="center"/>
    </xf>
    <xf numFmtId="38" fontId="2" fillId="0" borderId="24" xfId="0" applyNumberFormat="1" applyFont="1" applyBorder="1" applyAlignment="1" applyProtection="1">
      <alignment vertical="center"/>
    </xf>
    <xf numFmtId="0" fontId="2" fillId="0" borderId="25" xfId="0" applyFont="1" applyBorder="1" applyAlignment="1" applyProtection="1">
      <alignment vertical="center"/>
    </xf>
    <xf numFmtId="0" fontId="9" fillId="2" borderId="0" xfId="0" applyFont="1" applyFill="1" applyBorder="1">
      <alignment vertical="center"/>
    </xf>
    <xf numFmtId="10" fontId="15" fillId="25" borderId="7" xfId="0" applyNumberFormat="1" applyFont="1" applyFill="1" applyBorder="1" applyAlignment="1">
      <alignment vertical="center"/>
    </xf>
    <xf numFmtId="10" fontId="15" fillId="25" borderId="31" xfId="0" applyNumberFormat="1" applyFont="1" applyFill="1" applyBorder="1" applyAlignment="1">
      <alignment vertical="center"/>
    </xf>
    <xf numFmtId="10" fontId="15" fillId="25" borderId="35" xfId="0" applyNumberFormat="1" applyFont="1" applyFill="1" applyBorder="1" applyAlignment="1">
      <alignment vertical="center"/>
    </xf>
    <xf numFmtId="10" fontId="15" fillId="25" borderId="32" xfId="0" applyNumberFormat="1" applyFont="1" applyFill="1" applyBorder="1" applyAlignment="1">
      <alignment vertical="center"/>
    </xf>
    <xf numFmtId="10" fontId="15" fillId="9" borderId="1" xfId="0" applyNumberFormat="1" applyFont="1" applyFill="1" applyBorder="1" applyAlignment="1">
      <alignment horizontal="right" vertical="center" wrapText="1"/>
    </xf>
    <xf numFmtId="0" fontId="8" fillId="21" borderId="8" xfId="0" applyFont="1" applyFill="1" applyBorder="1" applyProtection="1">
      <alignment vertical="center"/>
      <protection locked="0"/>
    </xf>
    <xf numFmtId="0" fontId="8" fillId="14" borderId="8" xfId="0" applyFont="1" applyFill="1" applyBorder="1" applyProtection="1">
      <alignment vertical="center"/>
      <protection locked="0"/>
    </xf>
    <xf numFmtId="0" fontId="8" fillId="14" borderId="0" xfId="0" applyFont="1" applyFill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8" fillId="21" borderId="1" xfId="0" applyFont="1" applyFill="1" applyBorder="1" applyProtection="1">
      <alignment vertical="center"/>
      <protection locked="0"/>
    </xf>
    <xf numFmtId="0" fontId="8" fillId="14" borderId="1" xfId="0" applyFont="1" applyFill="1" applyBorder="1" applyProtection="1">
      <alignment vertical="center"/>
      <protection locked="0"/>
    </xf>
    <xf numFmtId="0" fontId="8" fillId="19" borderId="8" xfId="0" applyFont="1" applyFill="1" applyBorder="1" applyProtection="1">
      <alignment vertical="center"/>
      <protection locked="0"/>
    </xf>
    <xf numFmtId="0" fontId="8" fillId="19" borderId="1" xfId="0" applyFont="1" applyFill="1" applyBorder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20</xdr:row>
      <xdr:rowOff>0</xdr:rowOff>
    </xdr:from>
    <xdr:to>
      <xdr:col>9</xdr:col>
      <xdr:colOff>57150</xdr:colOff>
      <xdr:row>21</xdr:row>
      <xdr:rowOff>0</xdr:rowOff>
    </xdr:to>
    <xdr:pic>
      <xdr:nvPicPr>
        <xdr:cNvPr id="9245" name="圖片 1" descr="擷取.PNG">
          <a:extLst>
            <a:ext uri="{FF2B5EF4-FFF2-40B4-BE49-F238E27FC236}">
              <a16:creationId xmlns:a16="http://schemas.microsoft.com/office/drawing/2014/main" id="{9BEC757E-3100-4915-8403-2358891B1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4175" y="8696325"/>
          <a:ext cx="4229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409575</xdr:colOff>
      <xdr:row>53</xdr:row>
      <xdr:rowOff>19050</xdr:rowOff>
    </xdr:from>
    <xdr:to>
      <xdr:col>9</xdr:col>
      <xdr:colOff>104775</xdr:colOff>
      <xdr:row>78</xdr:row>
      <xdr:rowOff>0</xdr:rowOff>
    </xdr:to>
    <xdr:pic>
      <xdr:nvPicPr>
        <xdr:cNvPr id="9246" name="圖片 5" descr="擷取2.PNG">
          <a:extLst>
            <a:ext uri="{FF2B5EF4-FFF2-40B4-BE49-F238E27FC236}">
              <a16:creationId xmlns:a16="http://schemas.microsoft.com/office/drawing/2014/main" id="{CE36739B-9A05-495C-B113-3E1AEC0EB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16106775"/>
          <a:ext cx="5162550" cy="500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16</xdr:col>
      <xdr:colOff>114300</xdr:colOff>
      <xdr:row>1</xdr:row>
      <xdr:rowOff>4638675</xdr:rowOff>
    </xdr:to>
    <xdr:pic>
      <xdr:nvPicPr>
        <xdr:cNvPr id="9247" name="圖片 5" descr="擷取.PNG">
          <a:extLst>
            <a:ext uri="{FF2B5EF4-FFF2-40B4-BE49-F238E27FC236}">
              <a16:creationId xmlns:a16="http://schemas.microsoft.com/office/drawing/2014/main" id="{906E566E-031A-46EC-93DF-9B47D33FB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09550"/>
          <a:ext cx="10725150" cy="463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600075</xdr:colOff>
      <xdr:row>1</xdr:row>
      <xdr:rowOff>9525</xdr:rowOff>
    </xdr:from>
    <xdr:to>
      <xdr:col>6</xdr:col>
      <xdr:colOff>228600</xdr:colOff>
      <xdr:row>1</xdr:row>
      <xdr:rowOff>361950</xdr:rowOff>
    </xdr:to>
    <xdr:sp macro="" textlink="">
      <xdr:nvSpPr>
        <xdr:cNvPr id="2049" name="CommandButton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>
          <a:outerShdw dist="35921" dir="2700000" algn="ctr" rotWithShape="0">
            <a:srgbClr val="000000"/>
          </a:outerShdw>
        </a:effectLst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6</xdr:col>
      <xdr:colOff>704850</xdr:colOff>
      <xdr:row>1</xdr:row>
      <xdr:rowOff>66675</xdr:rowOff>
    </xdr:from>
    <xdr:to>
      <xdr:col>7</xdr:col>
      <xdr:colOff>533400</xdr:colOff>
      <xdr:row>1</xdr:row>
      <xdr:rowOff>342900</xdr:rowOff>
    </xdr:to>
    <xdr:sp macro="" textlink="">
      <xdr:nvSpPr>
        <xdr:cNvPr id="2055" name="optb1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361950</xdr:colOff>
      <xdr:row>1</xdr:row>
      <xdr:rowOff>66675</xdr:rowOff>
    </xdr:from>
    <xdr:to>
      <xdr:col>8</xdr:col>
      <xdr:colOff>314325</xdr:colOff>
      <xdr:row>1</xdr:row>
      <xdr:rowOff>342900</xdr:rowOff>
    </xdr:to>
    <xdr:sp macro="" textlink="">
      <xdr:nvSpPr>
        <xdr:cNvPr id="2056" name="optb2" hidden="1">
          <a:extLst>
            <a:ext uri="{63B3BB69-23CF-44E3-9099-C40C66FF867C}">
              <a14:compatExt xmlns:a14="http://schemas.microsoft.com/office/drawing/2010/main" spid="_x0000_s2056"/>
            </a:ex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190500</xdr:colOff>
      <xdr:row>1</xdr:row>
      <xdr:rowOff>57150</xdr:rowOff>
    </xdr:from>
    <xdr:to>
      <xdr:col>8</xdr:col>
      <xdr:colOff>952500</xdr:colOff>
      <xdr:row>1</xdr:row>
      <xdr:rowOff>333375</xdr:rowOff>
    </xdr:to>
    <xdr:sp macro="" textlink="">
      <xdr:nvSpPr>
        <xdr:cNvPr id="2057" name="optb3" hidden="1">
          <a:extLst>
            <a:ext uri="{63B3BB69-23CF-44E3-9099-C40C66FF867C}">
              <a14:compatExt xmlns:a14="http://schemas.microsoft.com/office/drawing/2010/main" spid="_x0000_s2057"/>
            </a:ex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828675</xdr:colOff>
      <xdr:row>1</xdr:row>
      <xdr:rowOff>66675</xdr:rowOff>
    </xdr:from>
    <xdr:to>
      <xdr:col>8</xdr:col>
      <xdr:colOff>1590675</xdr:colOff>
      <xdr:row>1</xdr:row>
      <xdr:rowOff>342900</xdr:rowOff>
    </xdr:to>
    <xdr:sp macro="" textlink="">
      <xdr:nvSpPr>
        <xdr:cNvPr id="2058" name="optb4" hidden="1">
          <a:extLst>
            <a:ext uri="{63B3BB69-23CF-44E3-9099-C40C66FF867C}">
              <a14:compatExt xmlns:a14="http://schemas.microsoft.com/office/drawing/2010/main" spid="_x0000_s2058"/>
            </a:ex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W104"/>
  <sheetViews>
    <sheetView topLeftCell="A28" workbookViewId="0" xr3:uid="{AEA406A1-0E4B-5B11-9CD5-51D6E497D94C}">
      <selection activeCell="D22" sqref="D22"/>
    </sheetView>
  </sheetViews>
  <sheetFormatPr defaultColWidth="8.875" defaultRowHeight="15.75"/>
  <cols>
    <col min="1" max="1" width="5.25" style="1" customWidth="1"/>
    <col min="2" max="2" width="6.75" style="1" customWidth="1"/>
    <col min="3" max="3" width="9.375" style="2" customWidth="1"/>
    <col min="4" max="4" width="8.125" style="2" customWidth="1"/>
    <col min="5" max="5" width="8.875" style="2" customWidth="1"/>
    <col min="6" max="6" width="9.875" style="2" customWidth="1"/>
    <col min="7" max="7" width="12.25" style="2" customWidth="1"/>
    <col min="8" max="8" width="10.625" style="2" customWidth="1"/>
    <col min="9" max="9" width="22" style="3" customWidth="1"/>
    <col min="10" max="10" width="4.875" style="2" customWidth="1"/>
    <col min="11" max="16384" width="8.875" style="2"/>
  </cols>
  <sheetData>
    <row r="1" spans="3:8" ht="16.5">
      <c r="C1" s="161" t="s">
        <v>0</v>
      </c>
      <c r="D1" s="161"/>
      <c r="E1" s="161"/>
      <c r="F1" s="161"/>
      <c r="G1" s="161"/>
      <c r="H1" s="161"/>
    </row>
    <row r="2" spans="3:8" ht="378.6" customHeight="1">
      <c r="C2" s="161"/>
      <c r="D2" s="161"/>
      <c r="E2" s="161"/>
      <c r="F2" s="161"/>
      <c r="G2" s="161"/>
      <c r="H2" s="161"/>
    </row>
    <row r="3" spans="3:8" ht="15.6" customHeight="1">
      <c r="C3" s="161"/>
      <c r="D3" s="161"/>
      <c r="E3" s="161"/>
      <c r="F3" s="161"/>
      <c r="G3" s="161"/>
      <c r="H3" s="161"/>
    </row>
    <row r="4" spans="3:8" ht="15.6" customHeight="1">
      <c r="C4" s="161"/>
      <c r="D4" s="161"/>
      <c r="E4" s="161"/>
      <c r="F4" s="161"/>
      <c r="G4" s="161"/>
      <c r="H4" s="161"/>
    </row>
    <row r="5" spans="3:8" ht="15.6" customHeight="1">
      <c r="C5" s="161"/>
      <c r="D5" s="161"/>
      <c r="E5" s="161"/>
      <c r="F5" s="161"/>
      <c r="G5" s="161"/>
      <c r="H5" s="161"/>
    </row>
    <row r="6" spans="3:8" ht="15.6" customHeight="1">
      <c r="C6" s="161"/>
      <c r="D6" s="161"/>
      <c r="E6" s="161"/>
      <c r="F6" s="161"/>
      <c r="G6" s="161"/>
      <c r="H6" s="161"/>
    </row>
    <row r="7" spans="3:8" ht="15.6" customHeight="1">
      <c r="C7" s="161"/>
      <c r="D7" s="161"/>
      <c r="E7" s="161"/>
      <c r="F7" s="161"/>
      <c r="G7" s="161"/>
      <c r="H7" s="161"/>
    </row>
    <row r="8" spans="3:8" ht="15.6" customHeight="1">
      <c r="C8" s="161"/>
      <c r="D8" s="161"/>
      <c r="E8" s="161"/>
      <c r="F8" s="161"/>
      <c r="G8" s="161"/>
      <c r="H8" s="161"/>
    </row>
    <row r="9" spans="3:8" ht="15.6" customHeight="1">
      <c r="C9" s="161"/>
      <c r="D9" s="161"/>
      <c r="E9" s="161"/>
      <c r="F9" s="161"/>
      <c r="G9" s="161"/>
      <c r="H9" s="161"/>
    </row>
    <row r="10" spans="3:8" ht="15.6" customHeight="1">
      <c r="C10" s="161"/>
      <c r="D10" s="161"/>
      <c r="E10" s="161"/>
      <c r="F10" s="161"/>
      <c r="G10" s="161"/>
      <c r="H10" s="161"/>
    </row>
    <row r="11" spans="3:8" ht="15.6" customHeight="1">
      <c r="C11" s="161"/>
      <c r="D11" s="161"/>
      <c r="E11" s="161"/>
      <c r="F11" s="161"/>
      <c r="G11" s="161"/>
      <c r="H11" s="161"/>
    </row>
    <row r="12" spans="3:8" ht="15.6" customHeight="1">
      <c r="C12" s="161"/>
      <c r="D12" s="161"/>
      <c r="E12" s="161"/>
      <c r="F12" s="161"/>
      <c r="G12" s="161"/>
      <c r="H12" s="161"/>
    </row>
    <row r="13" spans="3:8" ht="15.6" customHeight="1">
      <c r="C13" s="161"/>
      <c r="D13" s="161"/>
      <c r="E13" s="161"/>
      <c r="F13" s="161"/>
      <c r="G13" s="161"/>
      <c r="H13" s="161"/>
    </row>
    <row r="14" spans="3:8" ht="15.6" customHeight="1">
      <c r="C14" s="161"/>
      <c r="D14" s="161"/>
      <c r="E14" s="161"/>
      <c r="F14" s="161"/>
      <c r="G14" s="161"/>
      <c r="H14" s="161"/>
    </row>
    <row r="15" spans="3:8" ht="15.6" customHeight="1">
      <c r="C15" s="161"/>
      <c r="D15" s="161"/>
      <c r="E15" s="161"/>
      <c r="F15" s="161"/>
      <c r="G15" s="161"/>
      <c r="H15" s="161"/>
    </row>
    <row r="16" spans="3:8" ht="15.6" customHeight="1">
      <c r="C16" s="161"/>
      <c r="D16" s="161"/>
      <c r="E16" s="161"/>
      <c r="F16" s="161"/>
      <c r="G16" s="161"/>
      <c r="H16" s="161"/>
    </row>
    <row r="18" spans="1:19" ht="23.45" customHeight="1">
      <c r="B18" s="181" t="s">
        <v>1</v>
      </c>
      <c r="C18" s="181"/>
      <c r="D18" s="181"/>
      <c r="E18" s="181"/>
      <c r="F18" s="181"/>
    </row>
    <row r="19" spans="1:19">
      <c r="B19" s="164"/>
    </row>
    <row r="20" spans="1:19" ht="25.9" customHeight="1">
      <c r="A20" s="70"/>
      <c r="B20" s="70"/>
      <c r="C20" s="182" t="s">
        <v>2</v>
      </c>
      <c r="D20" s="182"/>
      <c r="E20" s="182"/>
      <c r="F20" s="182"/>
      <c r="G20" s="182"/>
      <c r="H20" s="182"/>
      <c r="I20" s="71"/>
    </row>
    <row r="21" spans="1:19" ht="33" customHeight="1" thickBot="1">
      <c r="A21" s="70"/>
      <c r="B21" s="72"/>
      <c r="C21" s="73" t="s">
        <v>3</v>
      </c>
      <c r="D21" s="91">
        <v>105</v>
      </c>
      <c r="E21" s="74"/>
      <c r="F21" s="74"/>
      <c r="G21" s="74"/>
      <c r="H21" s="74"/>
      <c r="I21" s="71"/>
    </row>
    <row r="22" spans="1:19" ht="35.25" customHeight="1" thickTop="1" thickBot="1">
      <c r="A22" s="75" t="s">
        <v>4</v>
      </c>
      <c r="B22" s="76" t="s">
        <v>5</v>
      </c>
      <c r="C22" s="76" t="s">
        <v>6</v>
      </c>
      <c r="D22" s="77" t="s">
        <v>7</v>
      </c>
      <c r="E22" s="77" t="s">
        <v>8</v>
      </c>
      <c r="F22" s="78" t="s">
        <v>9</v>
      </c>
      <c r="G22" s="78" t="s">
        <v>10</v>
      </c>
      <c r="H22" s="78" t="s">
        <v>11</v>
      </c>
      <c r="I22" s="79" t="s">
        <v>12</v>
      </c>
      <c r="K22" s="213" t="s">
        <v>13</v>
      </c>
      <c r="L22" s="213"/>
    </row>
    <row r="23" spans="1:19" ht="16.899999999999999" customHeight="1" thickBot="1">
      <c r="A23" s="80">
        <v>1</v>
      </c>
      <c r="B23" s="92">
        <v>1216</v>
      </c>
      <c r="C23" s="93" t="s">
        <v>14</v>
      </c>
      <c r="D23" s="94">
        <v>53.9</v>
      </c>
      <c r="E23" s="94">
        <v>55.4</v>
      </c>
      <c r="F23" s="98">
        <v>1000</v>
      </c>
      <c r="G23" s="81">
        <f t="shared" ref="G23:G42" si="0">F23*D23</f>
        <v>53900</v>
      </c>
      <c r="H23" s="81">
        <f t="shared" ref="H23:H42" si="1">(E23-D23)*F23</f>
        <v>1500</v>
      </c>
      <c r="I23" s="82">
        <f t="shared" ref="I23:I42" si="2">IF(G23=0,"",H23/G23)</f>
        <v>2.7829313543599257E-2</v>
      </c>
      <c r="K23" s="2" t="s">
        <v>15</v>
      </c>
    </row>
    <row r="24" spans="1:19" ht="16.5" thickBot="1">
      <c r="A24" s="80">
        <v>2</v>
      </c>
      <c r="B24" s="95">
        <v>1301</v>
      </c>
      <c r="C24" s="93" t="s">
        <v>16</v>
      </c>
      <c r="D24" s="94">
        <v>72.400000000000006</v>
      </c>
      <c r="E24" s="94">
        <v>92.8</v>
      </c>
      <c r="F24" s="98">
        <v>1000</v>
      </c>
      <c r="G24" s="81">
        <f t="shared" si="0"/>
        <v>72400</v>
      </c>
      <c r="H24" s="81">
        <f t="shared" si="1"/>
        <v>20399.999999999993</v>
      </c>
      <c r="I24" s="82">
        <f t="shared" si="2"/>
        <v>0.28176795580110486</v>
      </c>
      <c r="K24" s="31" t="s">
        <v>17</v>
      </c>
      <c r="L24" s="31"/>
      <c r="M24" s="31"/>
      <c r="N24" s="31"/>
      <c r="O24" s="31"/>
      <c r="P24" s="31"/>
      <c r="Q24" s="31"/>
      <c r="R24" s="31"/>
      <c r="S24" s="31"/>
    </row>
    <row r="25" spans="1:19" ht="16.149999999999999" customHeight="1" thickBot="1">
      <c r="A25" s="80">
        <v>3</v>
      </c>
      <c r="B25" s="92">
        <v>1303</v>
      </c>
      <c r="C25" s="93" t="s">
        <v>18</v>
      </c>
      <c r="D25" s="94">
        <v>57.4</v>
      </c>
      <c r="E25" s="94">
        <v>74.5</v>
      </c>
      <c r="F25" s="98">
        <v>1000</v>
      </c>
      <c r="G25" s="81">
        <f t="shared" si="0"/>
        <v>57400</v>
      </c>
      <c r="H25" s="81">
        <f t="shared" si="1"/>
        <v>17100</v>
      </c>
      <c r="I25" s="82">
        <f t="shared" si="2"/>
        <v>0.29790940766550522</v>
      </c>
      <c r="K25" s="31" t="s">
        <v>19</v>
      </c>
      <c r="L25" s="31"/>
      <c r="M25" s="31"/>
      <c r="N25" s="31"/>
      <c r="O25" s="31"/>
      <c r="P25" s="31"/>
      <c r="Q25" s="31"/>
      <c r="R25" s="31"/>
      <c r="S25" s="31"/>
    </row>
    <row r="26" spans="1:19" ht="16.5" thickBot="1">
      <c r="A26" s="80">
        <v>4</v>
      </c>
      <c r="B26" s="92">
        <v>1326</v>
      </c>
      <c r="C26" s="93" t="s">
        <v>20</v>
      </c>
      <c r="D26" s="94">
        <v>68.2</v>
      </c>
      <c r="E26" s="94">
        <v>101.9</v>
      </c>
      <c r="F26" s="98">
        <v>1000</v>
      </c>
      <c r="G26" s="81">
        <f t="shared" si="0"/>
        <v>68200</v>
      </c>
      <c r="H26" s="81">
        <f t="shared" si="1"/>
        <v>33700</v>
      </c>
      <c r="I26" s="82">
        <f t="shared" si="2"/>
        <v>0.49413489736070382</v>
      </c>
    </row>
    <row r="27" spans="1:19" ht="16.5" thickBot="1">
      <c r="A27" s="80">
        <v>5</v>
      </c>
      <c r="B27" s="92">
        <v>2105</v>
      </c>
      <c r="C27" s="93" t="s">
        <v>21</v>
      </c>
      <c r="D27" s="94">
        <v>51.7</v>
      </c>
      <c r="E27" s="94">
        <v>63.8</v>
      </c>
      <c r="F27" s="98">
        <v>1000</v>
      </c>
      <c r="G27" s="81">
        <f t="shared" si="0"/>
        <v>51700</v>
      </c>
      <c r="H27" s="81">
        <f t="shared" si="1"/>
        <v>12099.999999999995</v>
      </c>
      <c r="I27" s="82">
        <f t="shared" si="2"/>
        <v>0.23404255319148926</v>
      </c>
      <c r="K27" s="2" t="s">
        <v>22</v>
      </c>
      <c r="L27" s="2" t="s">
        <v>23</v>
      </c>
      <c r="M27" s="2" t="s">
        <v>24</v>
      </c>
    </row>
    <row r="28" spans="1:19" ht="16.5" thickBot="1">
      <c r="A28" s="80">
        <v>6</v>
      </c>
      <c r="B28" s="95">
        <v>2881</v>
      </c>
      <c r="C28" s="93" t="s">
        <v>25</v>
      </c>
      <c r="D28" s="94">
        <v>43.55</v>
      </c>
      <c r="E28" s="94">
        <v>53</v>
      </c>
      <c r="F28" s="98">
        <v>1000</v>
      </c>
      <c r="G28" s="81">
        <f t="shared" si="0"/>
        <v>43550</v>
      </c>
      <c r="H28" s="81">
        <f t="shared" si="1"/>
        <v>9450.0000000000036</v>
      </c>
      <c r="I28" s="82">
        <f t="shared" si="2"/>
        <v>0.21699196326062006</v>
      </c>
      <c r="K28" s="2" t="s">
        <v>26</v>
      </c>
      <c r="L28" s="2" t="s">
        <v>23</v>
      </c>
      <c r="M28" s="2" t="s">
        <v>27</v>
      </c>
    </row>
    <row r="29" spans="1:19" ht="16.5" thickBot="1">
      <c r="A29" s="80">
        <v>7</v>
      </c>
      <c r="B29" s="92">
        <v>2882</v>
      </c>
      <c r="C29" s="93" t="s">
        <v>28</v>
      </c>
      <c r="D29" s="94">
        <v>42</v>
      </c>
      <c r="E29" s="94">
        <v>50.2</v>
      </c>
      <c r="F29" s="98">
        <v>1000</v>
      </c>
      <c r="G29" s="81">
        <f t="shared" si="0"/>
        <v>42000</v>
      </c>
      <c r="H29" s="81">
        <f t="shared" si="1"/>
        <v>8200.0000000000036</v>
      </c>
      <c r="I29" s="82">
        <f t="shared" si="2"/>
        <v>0.19523809523809532</v>
      </c>
      <c r="K29" s="2" t="s">
        <v>29</v>
      </c>
      <c r="L29" s="2" t="s">
        <v>23</v>
      </c>
      <c r="M29" s="2" t="s">
        <v>30</v>
      </c>
    </row>
    <row r="30" spans="1:19" ht="16.899999999999999" customHeight="1" thickBot="1">
      <c r="A30" s="80">
        <v>8</v>
      </c>
      <c r="B30" s="92">
        <v>2308</v>
      </c>
      <c r="C30" s="93" t="s">
        <v>31</v>
      </c>
      <c r="D30" s="94">
        <v>149</v>
      </c>
      <c r="E30" s="94">
        <v>164.5</v>
      </c>
      <c r="F30" s="98">
        <v>1000</v>
      </c>
      <c r="G30" s="81">
        <f t="shared" si="0"/>
        <v>149000</v>
      </c>
      <c r="H30" s="81">
        <f t="shared" si="1"/>
        <v>15500</v>
      </c>
      <c r="I30" s="82">
        <f t="shared" si="2"/>
        <v>0.1040268456375839</v>
      </c>
      <c r="K30" s="2" t="s">
        <v>32</v>
      </c>
      <c r="L30" s="2" t="s">
        <v>23</v>
      </c>
      <c r="M30" s="2" t="s">
        <v>33</v>
      </c>
    </row>
    <row r="31" spans="1:19" ht="17.25" customHeight="1" thickBot="1">
      <c r="A31" s="80">
        <v>9</v>
      </c>
      <c r="B31" s="92">
        <v>2311</v>
      </c>
      <c r="C31" s="93" t="s">
        <v>34</v>
      </c>
      <c r="D31" s="94">
        <v>36.6</v>
      </c>
      <c r="E31" s="94">
        <v>34.65</v>
      </c>
      <c r="F31" s="98">
        <v>1000</v>
      </c>
      <c r="G31" s="81">
        <f t="shared" si="0"/>
        <v>36600</v>
      </c>
      <c r="H31" s="81">
        <f t="shared" si="1"/>
        <v>-1950.0000000000027</v>
      </c>
      <c r="I31" s="82">
        <f t="shared" si="2"/>
        <v>-5.3278688524590237E-2</v>
      </c>
    </row>
    <row r="32" spans="1:19" ht="16.899999999999999" customHeight="1" thickBot="1">
      <c r="A32" s="80">
        <v>10</v>
      </c>
      <c r="B32" s="92">
        <v>2317</v>
      </c>
      <c r="C32" s="93" t="s">
        <v>35</v>
      </c>
      <c r="D32" s="94">
        <v>79</v>
      </c>
      <c r="E32" s="94">
        <v>96.62</v>
      </c>
      <c r="F32" s="98">
        <v>1000</v>
      </c>
      <c r="G32" s="81">
        <f t="shared" si="0"/>
        <v>79000</v>
      </c>
      <c r="H32" s="81">
        <f t="shared" si="1"/>
        <v>17620.000000000004</v>
      </c>
      <c r="I32" s="82">
        <f t="shared" si="2"/>
        <v>0.22303797468354436</v>
      </c>
      <c r="K32" s="169" t="s">
        <v>36</v>
      </c>
      <c r="L32" s="169"/>
      <c r="M32" s="169"/>
      <c r="N32" s="169"/>
      <c r="O32" s="169"/>
    </row>
    <row r="33" spans="1:23" ht="15" customHeight="1" thickBot="1">
      <c r="A33" s="80">
        <v>11</v>
      </c>
      <c r="B33" s="92">
        <v>2330</v>
      </c>
      <c r="C33" s="93" t="s">
        <v>37</v>
      </c>
      <c r="D33" s="94">
        <v>139.5</v>
      </c>
      <c r="E33" s="94">
        <v>187.5</v>
      </c>
      <c r="F33" s="98">
        <v>1000</v>
      </c>
      <c r="G33" s="81">
        <f t="shared" si="0"/>
        <v>139500</v>
      </c>
      <c r="H33" s="81">
        <f t="shared" si="1"/>
        <v>48000</v>
      </c>
      <c r="I33" s="82">
        <f t="shared" si="2"/>
        <v>0.34408602150537637</v>
      </c>
      <c r="K33" s="31" t="s">
        <v>38</v>
      </c>
      <c r="L33" s="31"/>
      <c r="M33" s="31"/>
      <c r="N33" s="31"/>
      <c r="O33" s="31"/>
      <c r="P33" s="31"/>
      <c r="Q33" s="31"/>
      <c r="R33" s="31"/>
    </row>
    <row r="34" spans="1:23" ht="16.149999999999999" customHeight="1" thickBot="1">
      <c r="A34" s="80">
        <v>12</v>
      </c>
      <c r="B34" s="92">
        <v>2325</v>
      </c>
      <c r="C34" s="93" t="s">
        <v>39</v>
      </c>
      <c r="D34" s="94">
        <v>51.6</v>
      </c>
      <c r="E34" s="94">
        <v>51.65</v>
      </c>
      <c r="F34" s="98">
        <v>1000</v>
      </c>
      <c r="G34" s="81">
        <f t="shared" si="0"/>
        <v>51600</v>
      </c>
      <c r="H34" s="81">
        <f t="shared" si="1"/>
        <v>49.999999999997158</v>
      </c>
      <c r="I34" s="82">
        <f t="shared" si="2"/>
        <v>9.6899224806196041E-4</v>
      </c>
      <c r="K34" s="31" t="s">
        <v>40</v>
      </c>
      <c r="L34" s="31"/>
      <c r="M34" s="31"/>
      <c r="N34" s="31"/>
      <c r="O34" s="31"/>
      <c r="P34" s="31"/>
      <c r="Q34" s="31"/>
      <c r="R34" s="31"/>
    </row>
    <row r="35" spans="1:23" ht="16.899999999999999" customHeight="1" thickBot="1">
      <c r="A35" s="80">
        <v>13</v>
      </c>
      <c r="B35" s="92">
        <v>2382</v>
      </c>
      <c r="C35" s="93" t="s">
        <v>41</v>
      </c>
      <c r="D35" s="94">
        <v>50.6</v>
      </c>
      <c r="E35" s="94">
        <v>64.099999999999994</v>
      </c>
      <c r="F35" s="98">
        <v>1000</v>
      </c>
      <c r="G35" s="81">
        <f t="shared" si="0"/>
        <v>50600</v>
      </c>
      <c r="H35" s="81">
        <f t="shared" si="1"/>
        <v>13499.999999999993</v>
      </c>
      <c r="I35" s="82">
        <f t="shared" si="2"/>
        <v>0.26679841897233186</v>
      </c>
      <c r="K35" s="31" t="s">
        <v>42</v>
      </c>
      <c r="L35" s="31"/>
      <c r="M35" s="31"/>
      <c r="N35" s="31"/>
      <c r="O35" s="31"/>
      <c r="P35" s="31"/>
      <c r="Q35" s="31"/>
      <c r="R35" s="31"/>
    </row>
    <row r="36" spans="1:23" ht="17.25" customHeight="1" thickBot="1">
      <c r="A36" s="80">
        <v>14</v>
      </c>
      <c r="B36" s="92">
        <v>2412</v>
      </c>
      <c r="C36" s="93" t="s">
        <v>43</v>
      </c>
      <c r="D36" s="94">
        <v>98.2</v>
      </c>
      <c r="E36" s="94">
        <v>106.99</v>
      </c>
      <c r="F36" s="98">
        <v>1000</v>
      </c>
      <c r="G36" s="81">
        <f t="shared" si="0"/>
        <v>98200</v>
      </c>
      <c r="H36" s="81">
        <f t="shared" si="1"/>
        <v>8789.9999999999927</v>
      </c>
      <c r="I36" s="82">
        <f t="shared" si="2"/>
        <v>8.9511201629327825E-2</v>
      </c>
      <c r="K36" s="31" t="s">
        <v>44</v>
      </c>
      <c r="L36" s="31"/>
      <c r="M36" s="31"/>
      <c r="N36" s="31"/>
      <c r="O36" s="31"/>
      <c r="P36" s="31"/>
      <c r="Q36" s="31"/>
      <c r="R36" s="31"/>
    </row>
    <row r="37" spans="1:23" ht="16.5" thickBot="1">
      <c r="A37" s="80">
        <v>15</v>
      </c>
      <c r="B37" s="92">
        <v>3045</v>
      </c>
      <c r="C37" s="93" t="s">
        <v>45</v>
      </c>
      <c r="D37" s="94">
        <v>98</v>
      </c>
      <c r="E37" s="94">
        <v>109.6</v>
      </c>
      <c r="F37" s="98">
        <v>1000</v>
      </c>
      <c r="G37" s="81">
        <f t="shared" si="0"/>
        <v>98000</v>
      </c>
      <c r="H37" s="81">
        <f t="shared" si="1"/>
        <v>11599.999999999995</v>
      </c>
      <c r="I37" s="82">
        <f t="shared" si="2"/>
        <v>0.11836734693877546</v>
      </c>
    </row>
    <row r="38" spans="1:23" ht="16.5" thickBot="1">
      <c r="A38" s="80">
        <v>16</v>
      </c>
      <c r="B38" s="96">
        <v>2912</v>
      </c>
      <c r="C38" s="97" t="s">
        <v>46</v>
      </c>
      <c r="D38" s="94">
        <v>200</v>
      </c>
      <c r="E38" s="94">
        <v>238.2</v>
      </c>
      <c r="F38" s="98">
        <v>1000</v>
      </c>
      <c r="G38" s="81">
        <f t="shared" si="0"/>
        <v>200000</v>
      </c>
      <c r="H38" s="81">
        <f t="shared" si="1"/>
        <v>38199.999999999985</v>
      </c>
      <c r="I38" s="82">
        <f t="shared" si="2"/>
        <v>0.19099999999999992</v>
      </c>
      <c r="K38" s="178" t="s">
        <v>47</v>
      </c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</row>
    <row r="39" spans="1:23" ht="16.5" thickBot="1">
      <c r="A39" s="80">
        <v>17</v>
      </c>
      <c r="B39" s="96">
        <v>2886</v>
      </c>
      <c r="C39" s="97" t="s">
        <v>48</v>
      </c>
      <c r="D39" s="94">
        <v>21</v>
      </c>
      <c r="E39" s="94">
        <v>24.5</v>
      </c>
      <c r="F39" s="98">
        <v>1000</v>
      </c>
      <c r="G39" s="81">
        <f t="shared" si="0"/>
        <v>21000</v>
      </c>
      <c r="H39" s="81">
        <f t="shared" si="1"/>
        <v>3500</v>
      </c>
      <c r="I39" s="82">
        <f t="shared" si="2"/>
        <v>0.16666666666666666</v>
      </c>
      <c r="K39" s="31" t="s">
        <v>49</v>
      </c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</row>
    <row r="40" spans="1:23" ht="16.5" thickBot="1">
      <c r="A40" s="80">
        <v>18</v>
      </c>
      <c r="B40" s="96">
        <v>2892</v>
      </c>
      <c r="C40" s="97" t="s">
        <v>50</v>
      </c>
      <c r="D40" s="94">
        <v>15</v>
      </c>
      <c r="E40" s="94">
        <v>18.920000000000002</v>
      </c>
      <c r="F40" s="98">
        <v>1000</v>
      </c>
      <c r="G40" s="81">
        <f t="shared" si="0"/>
        <v>15000</v>
      </c>
      <c r="H40" s="81">
        <f t="shared" si="1"/>
        <v>3920.0000000000018</v>
      </c>
      <c r="I40" s="82">
        <f t="shared" si="2"/>
        <v>0.26133333333333347</v>
      </c>
      <c r="K40" s="31" t="s">
        <v>51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</row>
    <row r="41" spans="1:23" ht="16.5" thickBot="1">
      <c r="A41" s="80">
        <v>19</v>
      </c>
      <c r="B41" s="96">
        <v>6505</v>
      </c>
      <c r="C41" s="97" t="s">
        <v>52</v>
      </c>
      <c r="D41" s="94">
        <v>76.900000000000006</v>
      </c>
      <c r="E41" s="94">
        <v>116</v>
      </c>
      <c r="F41" s="98">
        <v>1000</v>
      </c>
      <c r="G41" s="81">
        <f t="shared" si="0"/>
        <v>76900</v>
      </c>
      <c r="H41" s="81">
        <f t="shared" si="1"/>
        <v>39099.999999999993</v>
      </c>
      <c r="I41" s="82">
        <f t="shared" si="2"/>
        <v>0.50845253576072813</v>
      </c>
      <c r="K41" s="31" t="s">
        <v>53</v>
      </c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</row>
    <row r="42" spans="1:23" ht="16.5" thickBot="1">
      <c r="A42" s="80">
        <v>20</v>
      </c>
      <c r="B42" s="96">
        <v>4904</v>
      </c>
      <c r="C42" s="97" t="s">
        <v>54</v>
      </c>
      <c r="D42" s="94">
        <v>66.2</v>
      </c>
      <c r="E42" s="94">
        <v>76.25</v>
      </c>
      <c r="F42" s="98">
        <v>1000</v>
      </c>
      <c r="G42" s="81">
        <f t="shared" si="0"/>
        <v>66200</v>
      </c>
      <c r="H42" s="81">
        <f t="shared" si="1"/>
        <v>10049.999999999996</v>
      </c>
      <c r="I42" s="82">
        <f t="shared" si="2"/>
        <v>0.15181268882175222</v>
      </c>
      <c r="K42" s="31" t="s">
        <v>55</v>
      </c>
      <c r="L42" s="31"/>
      <c r="M42" s="31"/>
      <c r="N42" s="31"/>
    </row>
    <row r="43" spans="1:23" ht="16.5" thickBot="1">
      <c r="A43" s="83"/>
      <c r="B43" s="84"/>
      <c r="C43" s="85"/>
      <c r="D43" s="86"/>
      <c r="E43" s="86"/>
      <c r="F43" s="86"/>
      <c r="G43" s="86"/>
      <c r="H43" s="86"/>
      <c r="I43" s="87"/>
    </row>
    <row r="44" spans="1:23" ht="17.45" customHeight="1" thickTop="1" thickBot="1">
      <c r="A44" s="88" t="s">
        <v>56</v>
      </c>
      <c r="B44" s="89"/>
      <c r="C44" s="90"/>
      <c r="D44" s="214">
        <f>SUM(G23:G42)</f>
        <v>1470750</v>
      </c>
      <c r="E44" s="215"/>
      <c r="F44" s="216" t="s">
        <v>57</v>
      </c>
      <c r="G44" s="216"/>
      <c r="H44" s="217">
        <f>IF(D44=0,0,SUM(H45/D44))</f>
        <v>0.2110011898691144</v>
      </c>
      <c r="I44" s="218"/>
    </row>
    <row r="45" spans="1:23" ht="16.899999999999999" customHeight="1" thickBot="1">
      <c r="A45" s="183" t="s">
        <v>58</v>
      </c>
      <c r="B45" s="184"/>
      <c r="C45" s="185"/>
      <c r="D45" s="219">
        <f>SUM(D44+H45)</f>
        <v>1781080</v>
      </c>
      <c r="E45" s="220"/>
      <c r="F45" s="221" t="s">
        <v>11</v>
      </c>
      <c r="G45" s="221"/>
      <c r="H45" s="222">
        <f>SUM(H23:H42)</f>
        <v>310330</v>
      </c>
      <c r="I45" s="223"/>
    </row>
    <row r="46" spans="1:23" ht="16.899999999999999" customHeight="1" thickTop="1">
      <c r="A46" s="171"/>
      <c r="B46" s="171"/>
      <c r="C46" s="171"/>
      <c r="D46" s="172"/>
      <c r="E46" s="173"/>
      <c r="F46" s="173"/>
      <c r="G46" s="173"/>
      <c r="H46" s="174"/>
      <c r="I46" s="173"/>
    </row>
    <row r="47" spans="1:23" ht="16.899999999999999" customHeight="1">
      <c r="A47" s="171"/>
      <c r="B47" s="171"/>
      <c r="C47" s="171"/>
      <c r="D47" s="172"/>
      <c r="E47" s="173"/>
      <c r="F47" s="173"/>
      <c r="G47" s="173"/>
      <c r="H47" s="174"/>
      <c r="I47" s="173"/>
    </row>
    <row r="48" spans="1:23" ht="16.899999999999999" customHeight="1">
      <c r="A48" s="171"/>
      <c r="B48" s="171"/>
      <c r="C48" s="171"/>
      <c r="D48" s="172"/>
      <c r="E48" s="173"/>
      <c r="F48" s="173"/>
      <c r="G48" s="173"/>
      <c r="H48" s="174"/>
      <c r="I48" s="173"/>
    </row>
    <row r="49" spans="1:13" ht="16.899999999999999" customHeight="1">
      <c r="A49" s="171"/>
      <c r="B49" s="171"/>
      <c r="C49" s="171"/>
      <c r="D49" s="172"/>
      <c r="E49" s="173"/>
      <c r="F49" s="173"/>
      <c r="G49" s="173"/>
      <c r="H49" s="174"/>
      <c r="I49" s="173"/>
    </row>
    <row r="50" spans="1:13" ht="16.899999999999999" customHeight="1">
      <c r="A50" s="171"/>
      <c r="B50" s="171"/>
      <c r="C50" s="171"/>
      <c r="D50" s="172"/>
      <c r="E50" s="173"/>
      <c r="F50" s="173"/>
      <c r="G50" s="173"/>
      <c r="H50" s="174"/>
      <c r="I50" s="173"/>
    </row>
    <row r="51" spans="1:13" ht="16.899999999999999" customHeight="1">
      <c r="A51" s="171"/>
      <c r="B51" s="171"/>
      <c r="C51" s="171"/>
      <c r="D51" s="172"/>
      <c r="E51" s="173"/>
      <c r="F51" s="173"/>
      <c r="G51" s="173"/>
      <c r="H51" s="174"/>
      <c r="I51" s="173"/>
    </row>
    <row r="52" spans="1:13">
      <c r="A52" s="70"/>
      <c r="B52" s="70"/>
      <c r="C52" s="74"/>
      <c r="D52" s="74"/>
      <c r="E52" s="74"/>
      <c r="F52" s="74"/>
      <c r="G52" s="74"/>
      <c r="H52" s="74"/>
      <c r="I52" s="71"/>
    </row>
    <row r="53" spans="1:13" ht="20.25">
      <c r="A53" s="70"/>
      <c r="B53" s="165" t="s">
        <v>59</v>
      </c>
      <c r="C53" s="166"/>
      <c r="D53" s="166"/>
      <c r="E53" s="167"/>
      <c r="F53" s="74"/>
      <c r="G53" s="74"/>
      <c r="H53" s="74"/>
      <c r="I53" s="71"/>
    </row>
    <row r="54" spans="1:13">
      <c r="B54" s="2"/>
    </row>
    <row r="55" spans="1:13" ht="16.5">
      <c r="B55" s="2"/>
      <c r="K55" s="175" t="s">
        <v>60</v>
      </c>
      <c r="L55" s="175"/>
      <c r="M55" s="175"/>
    </row>
    <row r="56" spans="1:13">
      <c r="B56" s="2"/>
    </row>
    <row r="57" spans="1:13">
      <c r="B57" s="2"/>
    </row>
    <row r="58" spans="1:13">
      <c r="B58" s="2"/>
    </row>
    <row r="59" spans="1:13">
      <c r="B59" s="2"/>
    </row>
    <row r="60" spans="1:13">
      <c r="B60" s="2"/>
    </row>
    <row r="61" spans="1:13">
      <c r="B61" s="2"/>
    </row>
    <row r="62" spans="1:13">
      <c r="B62" s="2"/>
    </row>
    <row r="63" spans="1:13">
      <c r="B63" s="2"/>
    </row>
    <row r="64" spans="1:13">
      <c r="B64" s="2"/>
    </row>
    <row r="65" spans="2:15">
      <c r="B65" s="2"/>
    </row>
    <row r="66" spans="2:15">
      <c r="B66" s="2"/>
      <c r="K66" s="169" t="s">
        <v>61</v>
      </c>
      <c r="L66" s="169"/>
      <c r="M66" s="169"/>
      <c r="N66" s="169"/>
      <c r="O66" s="169"/>
    </row>
    <row r="67" spans="2:15">
      <c r="B67" s="2"/>
    </row>
    <row r="68" spans="2:15">
      <c r="B68" s="2"/>
    </row>
    <row r="69" spans="2:15">
      <c r="B69" s="2"/>
    </row>
    <row r="70" spans="2:15">
      <c r="B70" s="2"/>
    </row>
    <row r="71" spans="2:15">
      <c r="B71" s="2"/>
    </row>
    <row r="72" spans="2:15">
      <c r="B72" s="2"/>
    </row>
    <row r="73" spans="2:15">
      <c r="B73" s="2"/>
    </row>
    <row r="74" spans="2:15">
      <c r="B74" s="2"/>
    </row>
    <row r="75" spans="2:15">
      <c r="B75" s="2"/>
    </row>
    <row r="76" spans="2:15">
      <c r="B76" s="2"/>
    </row>
    <row r="77" spans="2:15" ht="16.5">
      <c r="B77" s="2"/>
      <c r="K77" s="163" t="s">
        <v>62</v>
      </c>
      <c r="L77" s="163"/>
      <c r="M77" s="163"/>
    </row>
    <row r="78" spans="2:15">
      <c r="B78" s="2"/>
    </row>
    <row r="79" spans="2:15" ht="16.5">
      <c r="B79" s="2"/>
      <c r="N79" s="162"/>
    </row>
    <row r="80" spans="2:15">
      <c r="B80" s="2"/>
      <c r="C80" s="169" t="s">
        <v>63</v>
      </c>
      <c r="D80" s="169"/>
      <c r="E80" s="169"/>
      <c r="F80" s="169"/>
      <c r="G80" s="169"/>
    </row>
    <row r="81" spans="2:9">
      <c r="B81" s="2"/>
      <c r="C81" s="169" t="s">
        <v>64</v>
      </c>
      <c r="D81" s="169"/>
      <c r="E81" s="169"/>
      <c r="F81" s="169"/>
      <c r="G81" s="169"/>
    </row>
    <row r="82" spans="2:9">
      <c r="B82" s="2"/>
      <c r="C82" s="169" t="s">
        <v>65</v>
      </c>
      <c r="D82" s="169"/>
      <c r="E82" s="169"/>
      <c r="F82" s="169"/>
      <c r="G82" s="169"/>
    </row>
    <row r="83" spans="2:9" ht="16.5">
      <c r="B83" s="2"/>
      <c r="C83" s="176" t="s">
        <v>66</v>
      </c>
      <c r="D83" s="176"/>
      <c r="E83" s="176"/>
      <c r="F83" s="177"/>
    </row>
    <row r="84" spans="2:9">
      <c r="B84" s="2"/>
    </row>
    <row r="85" spans="2:9" ht="20.25">
      <c r="B85" s="168" t="s">
        <v>67</v>
      </c>
      <c r="C85" s="168"/>
      <c r="D85" s="168"/>
    </row>
    <row r="86" spans="2:9">
      <c r="B86" s="2"/>
    </row>
    <row r="87" spans="2:9">
      <c r="B87" s="169" t="s">
        <v>68</v>
      </c>
      <c r="C87" s="169"/>
      <c r="D87" s="169"/>
      <c r="E87" s="169"/>
      <c r="F87" s="169"/>
      <c r="G87" s="169"/>
      <c r="H87" s="169"/>
      <c r="I87" s="170"/>
    </row>
    <row r="88" spans="2:9">
      <c r="B88" s="2"/>
    </row>
    <row r="89" spans="2:9">
      <c r="B89" s="2"/>
    </row>
    <row r="90" spans="2:9">
      <c r="B90" s="2"/>
    </row>
    <row r="91" spans="2:9">
      <c r="B91" s="2"/>
    </row>
    <row r="92" spans="2:9">
      <c r="B92" s="2"/>
    </row>
    <row r="93" spans="2:9">
      <c r="B93" s="2"/>
    </row>
    <row r="94" spans="2:9">
      <c r="B94" s="2"/>
    </row>
    <row r="95" spans="2:9">
      <c r="B95" s="2"/>
    </row>
    <row r="96" spans="2:9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</sheetData>
  <mergeCells count="10">
    <mergeCell ref="K22:L22"/>
    <mergeCell ref="A45:C45"/>
    <mergeCell ref="D45:E45"/>
    <mergeCell ref="F45:G45"/>
    <mergeCell ref="H45:I45"/>
    <mergeCell ref="B18:F18"/>
    <mergeCell ref="C20:H20"/>
    <mergeCell ref="D44:E44"/>
    <mergeCell ref="F44:G44"/>
    <mergeCell ref="H44:I44"/>
  </mergeCells>
  <phoneticPr fontId="30" type="noConversion"/>
  <pageMargins left="0.70866141732283472" right="0.70866141732283472" top="0.74803149606299213" bottom="0.74803149606299213" header="0.31496062992125984" footer="0.31496062992125984"/>
  <pageSetup paperSize="1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R75"/>
  <sheetViews>
    <sheetView tabSelected="1" workbookViewId="0" xr3:uid="{958C4451-9541-5A59-BF78-D2F731DF1C81}">
      <selection activeCell="D2" sqref="D2"/>
    </sheetView>
  </sheetViews>
  <sheetFormatPr defaultColWidth="8.875" defaultRowHeight="16.5"/>
  <cols>
    <col min="1" max="1" width="5.25" style="1" customWidth="1"/>
    <col min="2" max="2" width="6.75" style="1" customWidth="1"/>
    <col min="3" max="3" width="9.375" style="2" customWidth="1"/>
    <col min="4" max="4" width="8.125" style="2" customWidth="1"/>
    <col min="5" max="5" width="8.875" style="2" customWidth="1"/>
    <col min="6" max="6" width="9.875" style="2" customWidth="1"/>
    <col min="7" max="7" width="12.25" style="2" customWidth="1"/>
    <col min="8" max="8" width="10.625" style="2" customWidth="1"/>
    <col min="9" max="9" width="22" style="3" customWidth="1"/>
    <col min="10" max="10" width="4.875" style="2" customWidth="1"/>
    <col min="11" max="12" width="9" customWidth="1"/>
    <col min="13" max="13" width="13.125" customWidth="1"/>
    <col min="14" max="14" width="12.375" customWidth="1"/>
    <col min="15" max="15" width="12.5" customWidth="1"/>
    <col min="16" max="16" width="13" customWidth="1"/>
    <col min="17" max="17" width="11.625" customWidth="1"/>
    <col min="18" max="18" width="11.5" customWidth="1"/>
    <col min="19" max="16384" width="8.875" style="2"/>
  </cols>
  <sheetData>
    <row r="1" spans="1:18" ht="37.15" customHeight="1">
      <c r="A1" s="70"/>
      <c r="B1" s="70"/>
      <c r="C1" s="182" t="s">
        <v>2</v>
      </c>
      <c r="D1" s="182"/>
      <c r="E1" s="182"/>
      <c r="F1" s="182"/>
      <c r="G1" s="182"/>
      <c r="H1" s="182"/>
      <c r="I1" s="71"/>
    </row>
    <row r="2" spans="1:18" ht="33" customHeight="1" thickBot="1">
      <c r="A2" s="70"/>
      <c r="B2" s="72"/>
      <c r="C2" s="73" t="s">
        <v>3</v>
      </c>
      <c r="D2" s="91">
        <v>105</v>
      </c>
      <c r="E2" s="74"/>
      <c r="F2" s="74"/>
      <c r="G2" s="74"/>
      <c r="H2" s="74"/>
      <c r="I2" s="71"/>
    </row>
    <row r="3" spans="1:18" ht="35.25" customHeight="1" thickTop="1" thickBot="1">
      <c r="A3" s="75" t="s">
        <v>4</v>
      </c>
      <c r="B3" s="76" t="s">
        <v>5</v>
      </c>
      <c r="C3" s="76" t="s">
        <v>6</v>
      </c>
      <c r="D3" s="77" t="s">
        <v>7</v>
      </c>
      <c r="E3" s="77" t="s">
        <v>8</v>
      </c>
      <c r="F3" s="78" t="s">
        <v>9</v>
      </c>
      <c r="G3" s="78" t="s">
        <v>10</v>
      </c>
      <c r="H3" s="78" t="s">
        <v>11</v>
      </c>
      <c r="I3" s="79" t="s">
        <v>12</v>
      </c>
    </row>
    <row r="4" spans="1:18" ht="16.899999999999999" customHeight="1" thickBot="1">
      <c r="A4" s="80">
        <v>1</v>
      </c>
      <c r="B4" s="92">
        <v>1216</v>
      </c>
      <c r="C4" s="93" t="s">
        <v>14</v>
      </c>
      <c r="D4" s="94">
        <v>53.9</v>
      </c>
      <c r="E4" s="94">
        <v>55.4</v>
      </c>
      <c r="F4" s="98">
        <v>1000</v>
      </c>
      <c r="G4" s="81">
        <f t="shared" ref="G4:G23" si="0">F4*D4</f>
        <v>53900</v>
      </c>
      <c r="H4" s="81">
        <f t="shared" ref="H4:H23" si="1">(E4-D4)*F4</f>
        <v>1500</v>
      </c>
      <c r="I4" s="82">
        <f t="shared" ref="I4:I23" si="2">IF(G4=0,"",H4/G4)</f>
        <v>2.7829313543599257E-2</v>
      </c>
      <c r="K4" s="186" t="s">
        <v>69</v>
      </c>
      <c r="L4" s="188" t="s">
        <v>70</v>
      </c>
      <c r="M4" s="156" t="s">
        <v>71</v>
      </c>
      <c r="N4" s="156" t="s">
        <v>72</v>
      </c>
      <c r="O4" s="156" t="s">
        <v>73</v>
      </c>
      <c r="P4" s="156" t="s">
        <v>74</v>
      </c>
      <c r="Q4" s="156" t="s">
        <v>75</v>
      </c>
      <c r="R4" s="224"/>
    </row>
    <row r="5" spans="1:18" ht="17.25" thickBot="1">
      <c r="A5" s="80">
        <v>2</v>
      </c>
      <c r="B5" s="95">
        <v>1301</v>
      </c>
      <c r="C5" s="93" t="s">
        <v>16</v>
      </c>
      <c r="D5" s="94">
        <v>72.400000000000006</v>
      </c>
      <c r="E5" s="94">
        <v>92.8</v>
      </c>
      <c r="F5" s="98">
        <v>1000</v>
      </c>
      <c r="G5" s="81">
        <f t="shared" si="0"/>
        <v>72400</v>
      </c>
      <c r="H5" s="81">
        <f t="shared" si="1"/>
        <v>20399.999999999993</v>
      </c>
      <c r="I5" s="82">
        <f t="shared" si="2"/>
        <v>0.28176795580110486</v>
      </c>
      <c r="K5" s="187"/>
      <c r="L5" s="189"/>
      <c r="M5" s="156" t="s">
        <v>76</v>
      </c>
      <c r="N5" s="157" t="s">
        <v>77</v>
      </c>
      <c r="O5" s="156"/>
      <c r="P5" s="156"/>
      <c r="Q5" s="156"/>
    </row>
    <row r="6" spans="1:18" ht="16.149999999999999" customHeight="1" thickBot="1">
      <c r="A6" s="80">
        <v>3</v>
      </c>
      <c r="B6" s="92">
        <v>1303</v>
      </c>
      <c r="C6" s="93" t="s">
        <v>18</v>
      </c>
      <c r="D6" s="94">
        <v>68.2</v>
      </c>
      <c r="E6" s="94">
        <v>74.5</v>
      </c>
      <c r="F6" s="98">
        <v>1000</v>
      </c>
      <c r="G6" s="81">
        <f t="shared" si="0"/>
        <v>68200</v>
      </c>
      <c r="H6" s="81">
        <f t="shared" si="1"/>
        <v>6299.9999999999973</v>
      </c>
      <c r="I6" s="82">
        <f t="shared" si="2"/>
        <v>9.2375366568914916E-2</v>
      </c>
      <c r="K6" s="187"/>
      <c r="L6" s="190" t="s">
        <v>78</v>
      </c>
      <c r="M6" s="158" t="s">
        <v>79</v>
      </c>
      <c r="N6" s="158" t="s">
        <v>80</v>
      </c>
      <c r="O6" s="158" t="s">
        <v>81</v>
      </c>
      <c r="P6" s="158" t="s">
        <v>82</v>
      </c>
      <c r="Q6" s="158" t="s">
        <v>83</v>
      </c>
    </row>
    <row r="7" spans="1:18" ht="17.25" thickBot="1">
      <c r="A7" s="80">
        <v>4</v>
      </c>
      <c r="B7" s="92">
        <v>1326</v>
      </c>
      <c r="C7" s="93" t="s">
        <v>20</v>
      </c>
      <c r="D7" s="94">
        <v>57.4</v>
      </c>
      <c r="E7" s="94">
        <v>101.9</v>
      </c>
      <c r="F7" s="98">
        <v>1000</v>
      </c>
      <c r="G7" s="81">
        <f t="shared" si="0"/>
        <v>57400</v>
      </c>
      <c r="H7" s="81">
        <f t="shared" si="1"/>
        <v>44500.000000000007</v>
      </c>
      <c r="I7" s="82">
        <f t="shared" si="2"/>
        <v>0.77526132404181203</v>
      </c>
      <c r="K7" s="187"/>
      <c r="L7" s="190"/>
      <c r="M7" s="158" t="s">
        <v>84</v>
      </c>
      <c r="N7" s="158" t="s">
        <v>85</v>
      </c>
      <c r="O7" s="158" t="s">
        <v>86</v>
      </c>
      <c r="P7" s="158" t="s">
        <v>87</v>
      </c>
      <c r="Q7" s="158"/>
    </row>
    <row r="8" spans="1:18" ht="17.25" thickBot="1">
      <c r="A8" s="80">
        <v>5</v>
      </c>
      <c r="B8" s="92">
        <v>2105</v>
      </c>
      <c r="C8" s="93" t="s">
        <v>21</v>
      </c>
      <c r="D8" s="94">
        <v>51.7</v>
      </c>
      <c r="E8" s="94">
        <v>63.8</v>
      </c>
      <c r="F8" s="98">
        <v>1000</v>
      </c>
      <c r="G8" s="81">
        <f t="shared" si="0"/>
        <v>51700</v>
      </c>
      <c r="H8" s="81">
        <f t="shared" si="1"/>
        <v>12099.999999999995</v>
      </c>
      <c r="I8" s="82">
        <f t="shared" si="2"/>
        <v>0.23404255319148926</v>
      </c>
      <c r="K8" s="187"/>
      <c r="L8" s="159" t="s">
        <v>88</v>
      </c>
      <c r="M8" s="160" t="s">
        <v>89</v>
      </c>
      <c r="N8" s="160" t="s">
        <v>90</v>
      </c>
      <c r="O8" s="160" t="s">
        <v>91</v>
      </c>
      <c r="P8" s="160" t="s">
        <v>92</v>
      </c>
      <c r="Q8" s="160"/>
    </row>
    <row r="9" spans="1:18" ht="17.25" thickBot="1">
      <c r="A9" s="80">
        <v>6</v>
      </c>
      <c r="B9" s="95">
        <v>2881</v>
      </c>
      <c r="C9" s="93" t="s">
        <v>25</v>
      </c>
      <c r="D9" s="94">
        <v>43.55</v>
      </c>
      <c r="E9" s="94">
        <v>53</v>
      </c>
      <c r="F9" s="98">
        <v>1000</v>
      </c>
      <c r="G9" s="81">
        <f t="shared" si="0"/>
        <v>43550</v>
      </c>
      <c r="H9" s="81">
        <f t="shared" si="1"/>
        <v>9450.0000000000036</v>
      </c>
      <c r="I9" s="82">
        <f t="shared" si="2"/>
        <v>0.21699196326062006</v>
      </c>
    </row>
    <row r="10" spans="1:18" ht="17.25" thickBot="1">
      <c r="A10" s="80">
        <v>7</v>
      </c>
      <c r="B10" s="92">
        <v>2882</v>
      </c>
      <c r="C10" s="93" t="s">
        <v>28</v>
      </c>
      <c r="D10" s="94">
        <v>42</v>
      </c>
      <c r="E10" s="94">
        <v>50.2</v>
      </c>
      <c r="F10" s="98">
        <v>1000</v>
      </c>
      <c r="G10" s="81">
        <f t="shared" si="0"/>
        <v>42000</v>
      </c>
      <c r="H10" s="81">
        <f t="shared" si="1"/>
        <v>8200.0000000000036</v>
      </c>
      <c r="I10" s="82">
        <f t="shared" si="2"/>
        <v>0.19523809523809532</v>
      </c>
    </row>
    <row r="11" spans="1:18" ht="16.899999999999999" customHeight="1" thickBot="1">
      <c r="A11" s="80">
        <v>8</v>
      </c>
      <c r="B11" s="92">
        <v>2308</v>
      </c>
      <c r="C11" s="93" t="s">
        <v>31</v>
      </c>
      <c r="D11" s="94">
        <v>149</v>
      </c>
      <c r="E11" s="94">
        <v>164.5</v>
      </c>
      <c r="F11" s="98">
        <v>1000</v>
      </c>
      <c r="G11" s="81">
        <f t="shared" si="0"/>
        <v>149000</v>
      </c>
      <c r="H11" s="81">
        <f t="shared" si="1"/>
        <v>15500</v>
      </c>
      <c r="I11" s="82">
        <f t="shared" si="2"/>
        <v>0.1040268456375839</v>
      </c>
    </row>
    <row r="12" spans="1:18" ht="17.25" customHeight="1" thickBot="1">
      <c r="A12" s="80">
        <v>9</v>
      </c>
      <c r="B12" s="92">
        <v>2311</v>
      </c>
      <c r="C12" s="93" t="s">
        <v>34</v>
      </c>
      <c r="D12" s="94">
        <v>36.6</v>
      </c>
      <c r="E12" s="94">
        <v>34.65</v>
      </c>
      <c r="F12" s="98">
        <v>1000</v>
      </c>
      <c r="G12" s="81">
        <f t="shared" si="0"/>
        <v>36600</v>
      </c>
      <c r="H12" s="81">
        <f t="shared" si="1"/>
        <v>-1950.0000000000027</v>
      </c>
      <c r="I12" s="82">
        <f t="shared" si="2"/>
        <v>-5.3278688524590237E-2</v>
      </c>
    </row>
    <row r="13" spans="1:18" ht="16.899999999999999" customHeight="1" thickBot="1">
      <c r="A13" s="80">
        <v>10</v>
      </c>
      <c r="B13" s="92">
        <v>2317</v>
      </c>
      <c r="C13" s="93" t="s">
        <v>35</v>
      </c>
      <c r="D13" s="94">
        <v>79</v>
      </c>
      <c r="E13" s="94">
        <v>96.62</v>
      </c>
      <c r="F13" s="98">
        <v>1000</v>
      </c>
      <c r="G13" s="81">
        <f t="shared" si="0"/>
        <v>79000</v>
      </c>
      <c r="H13" s="81">
        <f t="shared" si="1"/>
        <v>17620.000000000004</v>
      </c>
      <c r="I13" s="82">
        <f t="shared" si="2"/>
        <v>0.22303797468354436</v>
      </c>
    </row>
    <row r="14" spans="1:18" ht="15" customHeight="1" thickBot="1">
      <c r="A14" s="80">
        <v>11</v>
      </c>
      <c r="B14" s="92">
        <v>2330</v>
      </c>
      <c r="C14" s="93" t="s">
        <v>37</v>
      </c>
      <c r="D14" s="94">
        <v>139.5</v>
      </c>
      <c r="E14" s="94">
        <v>187.5</v>
      </c>
      <c r="F14" s="98">
        <v>1000</v>
      </c>
      <c r="G14" s="81">
        <f t="shared" si="0"/>
        <v>139500</v>
      </c>
      <c r="H14" s="81">
        <f t="shared" si="1"/>
        <v>48000</v>
      </c>
      <c r="I14" s="82">
        <f t="shared" si="2"/>
        <v>0.34408602150537637</v>
      </c>
    </row>
    <row r="15" spans="1:18" ht="16.149999999999999" customHeight="1" thickBot="1">
      <c r="A15" s="80">
        <v>12</v>
      </c>
      <c r="B15" s="92">
        <v>2325</v>
      </c>
      <c r="C15" s="93" t="s">
        <v>39</v>
      </c>
      <c r="D15" s="94">
        <v>51.6</v>
      </c>
      <c r="E15" s="94">
        <v>51.65</v>
      </c>
      <c r="F15" s="98">
        <v>1000</v>
      </c>
      <c r="G15" s="81">
        <f t="shared" si="0"/>
        <v>51600</v>
      </c>
      <c r="H15" s="81">
        <f t="shared" si="1"/>
        <v>49.999999999997158</v>
      </c>
      <c r="I15" s="82">
        <f t="shared" si="2"/>
        <v>9.6899224806196041E-4</v>
      </c>
    </row>
    <row r="16" spans="1:18" ht="16.899999999999999" customHeight="1" thickBot="1">
      <c r="A16" s="80">
        <v>13</v>
      </c>
      <c r="B16" s="92">
        <v>2382</v>
      </c>
      <c r="C16" s="93" t="s">
        <v>41</v>
      </c>
      <c r="D16" s="94">
        <v>50.6</v>
      </c>
      <c r="E16" s="94">
        <v>64.099999999999994</v>
      </c>
      <c r="F16" s="98">
        <v>1000</v>
      </c>
      <c r="G16" s="81">
        <f t="shared" si="0"/>
        <v>50600</v>
      </c>
      <c r="H16" s="81">
        <f t="shared" si="1"/>
        <v>13499.999999999993</v>
      </c>
      <c r="I16" s="82">
        <f t="shared" si="2"/>
        <v>0.26679841897233186</v>
      </c>
    </row>
    <row r="17" spans="1:9" ht="17.25" customHeight="1" thickBot="1">
      <c r="A17" s="80">
        <v>14</v>
      </c>
      <c r="B17" s="92">
        <v>2412</v>
      </c>
      <c r="C17" s="93" t="s">
        <v>43</v>
      </c>
      <c r="D17" s="94">
        <v>98.2</v>
      </c>
      <c r="E17" s="94">
        <v>106.99</v>
      </c>
      <c r="F17" s="98">
        <v>1000</v>
      </c>
      <c r="G17" s="81">
        <f t="shared" si="0"/>
        <v>98200</v>
      </c>
      <c r="H17" s="81">
        <f t="shared" si="1"/>
        <v>8789.9999999999927</v>
      </c>
      <c r="I17" s="82">
        <f t="shared" si="2"/>
        <v>8.9511201629327825E-2</v>
      </c>
    </row>
    <row r="18" spans="1:9" ht="17.25" thickBot="1">
      <c r="A18" s="80">
        <v>15</v>
      </c>
      <c r="B18" s="92">
        <v>3045</v>
      </c>
      <c r="C18" s="93" t="s">
        <v>45</v>
      </c>
      <c r="D18" s="94">
        <v>98</v>
      </c>
      <c r="E18" s="94">
        <v>109.6</v>
      </c>
      <c r="F18" s="98">
        <v>1000</v>
      </c>
      <c r="G18" s="81">
        <f t="shared" si="0"/>
        <v>98000</v>
      </c>
      <c r="H18" s="81">
        <f t="shared" si="1"/>
        <v>11599.999999999995</v>
      </c>
      <c r="I18" s="82">
        <f t="shared" si="2"/>
        <v>0.11836734693877546</v>
      </c>
    </row>
    <row r="19" spans="1:9" ht="17.25" thickBot="1">
      <c r="A19" s="80">
        <v>16</v>
      </c>
      <c r="B19" s="96">
        <v>2912</v>
      </c>
      <c r="C19" s="97" t="s">
        <v>46</v>
      </c>
      <c r="D19" s="94">
        <v>200</v>
      </c>
      <c r="E19" s="94">
        <v>238.2</v>
      </c>
      <c r="F19" s="98">
        <v>1000</v>
      </c>
      <c r="G19" s="81">
        <f t="shared" si="0"/>
        <v>200000</v>
      </c>
      <c r="H19" s="81">
        <f t="shared" si="1"/>
        <v>38199.999999999985</v>
      </c>
      <c r="I19" s="82">
        <f t="shared" si="2"/>
        <v>0.19099999999999992</v>
      </c>
    </row>
    <row r="20" spans="1:9" ht="17.25" thickBot="1">
      <c r="A20" s="80">
        <v>17</v>
      </c>
      <c r="B20" s="96">
        <v>2886</v>
      </c>
      <c r="C20" s="97" t="s">
        <v>48</v>
      </c>
      <c r="D20" s="94">
        <v>21</v>
      </c>
      <c r="E20" s="94">
        <v>24.5</v>
      </c>
      <c r="F20" s="98">
        <v>1000</v>
      </c>
      <c r="G20" s="81">
        <f t="shared" si="0"/>
        <v>21000</v>
      </c>
      <c r="H20" s="81">
        <f t="shared" si="1"/>
        <v>3500</v>
      </c>
      <c r="I20" s="82">
        <f t="shared" si="2"/>
        <v>0.16666666666666666</v>
      </c>
    </row>
    <row r="21" spans="1:9" ht="17.25" thickBot="1">
      <c r="A21" s="80">
        <v>18</v>
      </c>
      <c r="B21" s="96">
        <v>2892</v>
      </c>
      <c r="C21" s="97" t="s">
        <v>50</v>
      </c>
      <c r="D21" s="94">
        <v>15</v>
      </c>
      <c r="E21" s="94">
        <v>18.920000000000002</v>
      </c>
      <c r="F21" s="98">
        <v>1000</v>
      </c>
      <c r="G21" s="81">
        <f t="shared" si="0"/>
        <v>15000</v>
      </c>
      <c r="H21" s="81">
        <f t="shared" si="1"/>
        <v>3920.0000000000018</v>
      </c>
      <c r="I21" s="82">
        <f t="shared" si="2"/>
        <v>0.26133333333333347</v>
      </c>
    </row>
    <row r="22" spans="1:9" ht="17.25" thickBot="1">
      <c r="A22" s="80">
        <v>19</v>
      </c>
      <c r="B22" s="96">
        <v>6505</v>
      </c>
      <c r="C22" s="97" t="s">
        <v>52</v>
      </c>
      <c r="D22" s="94">
        <v>76.900000000000006</v>
      </c>
      <c r="E22" s="94">
        <v>116</v>
      </c>
      <c r="F22" s="98">
        <v>1000</v>
      </c>
      <c r="G22" s="81">
        <f t="shared" si="0"/>
        <v>76900</v>
      </c>
      <c r="H22" s="81">
        <f t="shared" si="1"/>
        <v>39099.999999999993</v>
      </c>
      <c r="I22" s="82">
        <f t="shared" si="2"/>
        <v>0.50845253576072813</v>
      </c>
    </row>
    <row r="23" spans="1:9" ht="17.25" thickBot="1">
      <c r="A23" s="80">
        <v>20</v>
      </c>
      <c r="B23" s="96">
        <v>4904</v>
      </c>
      <c r="C23" s="97" t="s">
        <v>54</v>
      </c>
      <c r="D23" s="94">
        <v>66.2</v>
      </c>
      <c r="E23" s="94">
        <v>76.25</v>
      </c>
      <c r="F23" s="98">
        <v>1000</v>
      </c>
      <c r="G23" s="81">
        <f t="shared" si="0"/>
        <v>66200</v>
      </c>
      <c r="H23" s="81">
        <f t="shared" si="1"/>
        <v>10049.999999999996</v>
      </c>
      <c r="I23" s="82">
        <f t="shared" si="2"/>
        <v>0.15181268882175222</v>
      </c>
    </row>
    <row r="24" spans="1:9" ht="17.25" thickBot="1">
      <c r="A24" s="83"/>
      <c r="B24" s="84"/>
      <c r="C24" s="85"/>
      <c r="D24" s="86"/>
      <c r="E24" s="86"/>
      <c r="F24" s="86"/>
      <c r="G24" s="86"/>
      <c r="H24" s="86"/>
      <c r="I24" s="87"/>
    </row>
    <row r="25" spans="1:9" ht="17.45" customHeight="1" thickTop="1" thickBot="1">
      <c r="A25" s="88" t="s">
        <v>56</v>
      </c>
      <c r="B25" s="89"/>
      <c r="C25" s="90"/>
      <c r="D25" s="214">
        <f>SUM(G4:G23)</f>
        <v>1470750</v>
      </c>
      <c r="E25" s="215"/>
      <c r="F25" s="216" t="s">
        <v>57</v>
      </c>
      <c r="G25" s="216"/>
      <c r="H25" s="217">
        <f>IF(D25=0,0,SUM(H26/D25))</f>
        <v>0.2110011898691144</v>
      </c>
      <c r="I25" s="218"/>
    </row>
    <row r="26" spans="1:9" ht="16.899999999999999" customHeight="1" thickBot="1">
      <c r="A26" s="183" t="s">
        <v>58</v>
      </c>
      <c r="B26" s="184"/>
      <c r="C26" s="185"/>
      <c r="D26" s="219">
        <f>SUM(D25+H26)</f>
        <v>1781080</v>
      </c>
      <c r="E26" s="220"/>
      <c r="F26" s="221" t="s">
        <v>11</v>
      </c>
      <c r="G26" s="221"/>
      <c r="H26" s="222">
        <f>SUM(H4:H23)</f>
        <v>310330</v>
      </c>
      <c r="I26" s="223"/>
    </row>
    <row r="27" spans="1:9" ht="17.25" thickTop="1">
      <c r="A27" s="70"/>
      <c r="B27" s="70"/>
      <c r="C27" s="74"/>
      <c r="D27" s="74"/>
      <c r="E27" s="74"/>
      <c r="F27" s="74"/>
      <c r="G27" s="74"/>
      <c r="H27" s="74"/>
      <c r="I27" s="71"/>
    </row>
    <row r="28" spans="1:9">
      <c r="B28" s="2"/>
    </row>
    <row r="29" spans="1:9">
      <c r="B29" s="2"/>
    </row>
    <row r="30" spans="1:9">
      <c r="B30" s="2"/>
    </row>
    <row r="31" spans="1:9">
      <c r="B31" s="2"/>
    </row>
    <row r="32" spans="1:9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</sheetData>
  <sheetProtection password="CC39" sheet="1" formatCells="0" formatColumns="0" formatRows="0"/>
  <mergeCells count="11">
    <mergeCell ref="K4:K8"/>
    <mergeCell ref="L4:L5"/>
    <mergeCell ref="L6:L7"/>
    <mergeCell ref="C1:H1"/>
    <mergeCell ref="H26:I26"/>
    <mergeCell ref="H25:I25"/>
    <mergeCell ref="A26:C26"/>
    <mergeCell ref="D26:E26"/>
    <mergeCell ref="F25:G25"/>
    <mergeCell ref="F26:G26"/>
    <mergeCell ref="D25:E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39997558519241921"/>
  </sheetPr>
  <dimension ref="A1:AU35"/>
  <sheetViews>
    <sheetView zoomScale="86" zoomScaleNormal="86" workbookViewId="0" xr3:uid="{842E5F09-E766-5B8D-85AF-A39847EA96FD}">
      <selection activeCell="AM30" sqref="AM30:AU32"/>
    </sheetView>
  </sheetViews>
  <sheetFormatPr defaultColWidth="8.875" defaultRowHeight="13.5"/>
  <cols>
    <col min="1" max="1" width="6.125" style="26" customWidth="1"/>
    <col min="2" max="2" width="7.625" style="27" customWidth="1"/>
    <col min="3" max="3" width="10.375" style="26" customWidth="1"/>
    <col min="4" max="4" width="8.5" style="29" customWidth="1"/>
    <col min="5" max="5" width="7.5" style="30" customWidth="1"/>
    <col min="6" max="6" width="11.125" style="26" customWidth="1"/>
    <col min="7" max="7" width="8.5" style="29" customWidth="1"/>
    <col min="8" max="8" width="7.5" style="30" customWidth="1"/>
    <col min="9" max="9" width="10.5" style="26" customWidth="1"/>
    <col min="10" max="10" width="8.5" style="29" customWidth="1"/>
    <col min="11" max="11" width="7.5" style="30" customWidth="1"/>
    <col min="12" max="12" width="2" style="26" customWidth="1"/>
    <col min="13" max="13" width="6.125" style="26" customWidth="1"/>
    <col min="14" max="14" width="7.625" style="27" customWidth="1"/>
    <col min="15" max="15" width="10.25" style="26" customWidth="1"/>
    <col min="16" max="16" width="8.5" style="29" customWidth="1"/>
    <col min="17" max="17" width="7.5" style="30" customWidth="1"/>
    <col min="18" max="18" width="11.125" style="26" customWidth="1"/>
    <col min="19" max="19" width="8.5" style="29" customWidth="1"/>
    <col min="20" max="20" width="7.5" style="30" customWidth="1"/>
    <col min="21" max="21" width="10.125" style="26" customWidth="1"/>
    <col min="22" max="22" width="8.5" style="29" customWidth="1"/>
    <col min="23" max="23" width="7.5" style="30" customWidth="1"/>
    <col min="24" max="26" width="8.875" style="31"/>
    <col min="27" max="27" width="10.375" style="31" customWidth="1"/>
    <col min="28" max="29" width="8.875" style="31"/>
    <col min="30" max="30" width="10.375" style="31" customWidth="1"/>
    <col min="31" max="32" width="8.875" style="31"/>
    <col min="33" max="33" width="10.875" style="31" customWidth="1"/>
    <col min="34" max="38" width="8.875" style="31"/>
    <col min="39" max="39" width="10.75" style="31" customWidth="1"/>
    <col min="40" max="41" width="8.875" style="31"/>
    <col min="42" max="42" width="10.625" style="31" customWidth="1"/>
    <col min="43" max="44" width="8.875" style="31"/>
    <col min="45" max="45" width="10.5" style="31" customWidth="1"/>
    <col min="46" max="16384" width="8.875" style="31"/>
  </cols>
  <sheetData>
    <row r="1" spans="1:47" ht="15.6" customHeight="1" thickBot="1">
      <c r="C1" s="28" t="s">
        <v>93</v>
      </c>
      <c r="K1" s="30" t="s">
        <v>94</v>
      </c>
      <c r="O1" s="28" t="s">
        <v>95</v>
      </c>
      <c r="W1" s="30" t="s">
        <v>96</v>
      </c>
      <c r="Y1" s="26"/>
      <c r="Z1" s="27"/>
      <c r="AA1" s="28"/>
      <c r="AB1" s="29"/>
      <c r="AC1" s="30"/>
      <c r="AD1" s="26"/>
      <c r="AE1" s="29"/>
      <c r="AF1" s="30"/>
      <c r="AG1" s="26"/>
      <c r="AH1" s="29"/>
      <c r="AI1" s="30" t="s">
        <v>97</v>
      </c>
      <c r="AJ1" s="26"/>
      <c r="AK1" s="26"/>
      <c r="AL1" s="27"/>
      <c r="AM1" s="28"/>
      <c r="AN1" s="29"/>
      <c r="AO1" s="30"/>
      <c r="AP1" s="26"/>
      <c r="AQ1" s="29"/>
      <c r="AR1" s="30"/>
      <c r="AS1" s="26"/>
      <c r="AT1" s="29"/>
      <c r="AU1" s="30" t="s">
        <v>98</v>
      </c>
    </row>
    <row r="2" spans="1:47" ht="28.5" thickTop="1" thickBot="1">
      <c r="A2" s="32" t="s">
        <v>99</v>
      </c>
      <c r="B2" s="155" t="s">
        <v>100</v>
      </c>
      <c r="C2" s="34" t="s">
        <v>101</v>
      </c>
      <c r="D2" s="34" t="s">
        <v>102</v>
      </c>
      <c r="E2" s="34" t="s">
        <v>103</v>
      </c>
      <c r="F2" s="35" t="s">
        <v>104</v>
      </c>
      <c r="G2" s="35" t="s">
        <v>102</v>
      </c>
      <c r="H2" s="36" t="s">
        <v>103</v>
      </c>
      <c r="I2" s="37" t="s">
        <v>105</v>
      </c>
      <c r="J2" s="37" t="s">
        <v>102</v>
      </c>
      <c r="K2" s="38" t="s">
        <v>103</v>
      </c>
      <c r="M2" s="32" t="s">
        <v>99</v>
      </c>
      <c r="N2" s="33" t="s">
        <v>100</v>
      </c>
      <c r="O2" s="34" t="s">
        <v>101</v>
      </c>
      <c r="P2" s="34" t="s">
        <v>102</v>
      </c>
      <c r="Q2" s="34" t="s">
        <v>103</v>
      </c>
      <c r="R2" s="35" t="s">
        <v>104</v>
      </c>
      <c r="S2" s="35" t="s">
        <v>102</v>
      </c>
      <c r="T2" s="36" t="s">
        <v>103</v>
      </c>
      <c r="U2" s="37" t="s">
        <v>105</v>
      </c>
      <c r="V2" s="37" t="s">
        <v>102</v>
      </c>
      <c r="W2" s="38" t="s">
        <v>103</v>
      </c>
      <c r="Y2" s="32" t="s">
        <v>99</v>
      </c>
      <c r="Z2" s="33" t="s">
        <v>100</v>
      </c>
      <c r="AA2" s="34" t="s">
        <v>101</v>
      </c>
      <c r="AB2" s="34" t="s">
        <v>102</v>
      </c>
      <c r="AC2" s="34" t="s">
        <v>103</v>
      </c>
      <c r="AD2" s="35" t="s">
        <v>104</v>
      </c>
      <c r="AE2" s="35" t="s">
        <v>102</v>
      </c>
      <c r="AF2" s="36" t="s">
        <v>103</v>
      </c>
      <c r="AG2" s="37" t="s">
        <v>105</v>
      </c>
      <c r="AH2" s="37" t="s">
        <v>102</v>
      </c>
      <c r="AI2" s="38" t="s">
        <v>103</v>
      </c>
      <c r="AJ2" s="26"/>
      <c r="AK2" s="32" t="s">
        <v>99</v>
      </c>
      <c r="AL2" s="33" t="s">
        <v>100</v>
      </c>
      <c r="AM2" s="34" t="s">
        <v>106</v>
      </c>
      <c r="AN2" s="34" t="s">
        <v>102</v>
      </c>
      <c r="AO2" s="34" t="s">
        <v>103</v>
      </c>
      <c r="AP2" s="35" t="s">
        <v>104</v>
      </c>
      <c r="AQ2" s="35" t="s">
        <v>102</v>
      </c>
      <c r="AR2" s="36" t="s">
        <v>103</v>
      </c>
      <c r="AS2" s="37" t="s">
        <v>105</v>
      </c>
      <c r="AT2" s="37" t="s">
        <v>102</v>
      </c>
      <c r="AU2" s="38" t="s">
        <v>103</v>
      </c>
    </row>
    <row r="3" spans="1:47" ht="14.25" thickBot="1">
      <c r="A3" s="39">
        <v>105</v>
      </c>
      <c r="B3" s="122">
        <v>0.2110011898691144</v>
      </c>
      <c r="C3" s="41" t="s">
        <v>107</v>
      </c>
      <c r="D3" s="6">
        <f>SUM(1+B5)*(1+B4)*(1+B3)-1</f>
        <v>0.33148078984487062</v>
      </c>
      <c r="E3" s="7">
        <f>(1+D3)^(1/3)-1</f>
        <v>0.1001324330483353</v>
      </c>
      <c r="F3" s="42" t="s">
        <v>108</v>
      </c>
      <c r="G3" s="8">
        <f>SUM(1+B7)*(1+B6)*(1+B5)*(1+B4)*(1+B3)-1</f>
        <v>0.76741883485103024</v>
      </c>
      <c r="H3" s="7">
        <f>(1+G3)^(1/5)-1</f>
        <v>0.12064458196595673</v>
      </c>
      <c r="I3" s="43" t="s">
        <v>109</v>
      </c>
      <c r="J3" s="9">
        <f>SUM(1+B12)*(1+B11)*(1+B10)*(1+B9)*(1+B8)*(1+B7)*(1+B6)*(1+B5)*(1+B4)*(1+B3)-1</f>
        <v>1.7270016507644153</v>
      </c>
      <c r="K3" s="10">
        <f>(1+J3)^(1/10)-1</f>
        <v>0.1055249288694442</v>
      </c>
      <c r="M3" s="39">
        <v>105</v>
      </c>
      <c r="N3" s="122">
        <v>0.23983154084438413</v>
      </c>
      <c r="O3" s="41" t="s">
        <v>107</v>
      </c>
      <c r="P3" s="6">
        <f>SUM(1+N5)*(1+N4)*(1+N3)-1</f>
        <v>0.35679795141176318</v>
      </c>
      <c r="Q3" s="7">
        <f>(1+P3)^(1/3)-1</f>
        <v>0.10706144574297038</v>
      </c>
      <c r="R3" s="42" t="s">
        <v>108</v>
      </c>
      <c r="S3" s="8">
        <f>SUM(1+N7)*(1+N6)*(1+N5)*(1+N4)*(1+N3)-1</f>
        <v>0.81504029819937962</v>
      </c>
      <c r="T3" s="7">
        <f>(1+S3)^(1/5)-1</f>
        <v>0.12661947523896155</v>
      </c>
      <c r="U3" s="43" t="s">
        <v>109</v>
      </c>
      <c r="V3" s="9">
        <f>SUM(1+N12)*(1+N11)*(1+N10)*(1+N9)*(1+N8)*(1+N7)*(1+N6)*(1+N5)*(1+N4)*(1+N3)-1</f>
        <v>2.5462162289425425</v>
      </c>
      <c r="W3" s="10">
        <f>(1+V3)^(1/10)-1</f>
        <v>0.13494945670709724</v>
      </c>
      <c r="Y3" s="39">
        <v>105</v>
      </c>
      <c r="Z3" s="122">
        <v>0.21550535726472395</v>
      </c>
      <c r="AA3" s="41" t="s">
        <v>107</v>
      </c>
      <c r="AB3" s="6">
        <f>SUM(1+Z5)*(1+Z4)*(1+Z3)-1</f>
        <v>0.28839863857613901</v>
      </c>
      <c r="AC3" s="7">
        <f t="shared" ref="AC3:AC13" si="0">(1+AB3)^(1/3)-1</f>
        <v>8.8136602076950732E-2</v>
      </c>
      <c r="AD3" s="42" t="s">
        <v>108</v>
      </c>
      <c r="AE3" s="8">
        <f>SUM(1+Z7)*(1+Z6)*(1+Z5)*(1+Z4)*(1+Z3)-1</f>
        <v>0.72353993218200241</v>
      </c>
      <c r="AF3" s="7">
        <f t="shared" ref="AF3:AF11" si="1">(1+AE3)^(1/5)-1</f>
        <v>0.11502414031998676</v>
      </c>
      <c r="AG3" s="43" t="s">
        <v>109</v>
      </c>
      <c r="AH3" s="108">
        <f>SUM(1+Z12)*(1+Z11)*(1+Z10)*(1+Z9)*(1+Z8)*(1+Z7)*(1+Z6)*(1+Z5)*(1+Z4)*(1+Z3)-1</f>
        <v>1.9009918697418606</v>
      </c>
      <c r="AI3" s="10">
        <f>(1+AH3)^(1/10)-1</f>
        <v>0.11238378897806967</v>
      </c>
      <c r="AJ3" s="26"/>
      <c r="AK3" s="39">
        <v>105</v>
      </c>
      <c r="AL3" s="122">
        <v>0.2110011898691144</v>
      </c>
      <c r="AM3" s="41" t="s">
        <v>107</v>
      </c>
      <c r="AN3" s="6">
        <f>SUM(1+AL5)*(1+AL4)*(1+AL3)-1</f>
        <v>0.44043314391303046</v>
      </c>
      <c r="AO3" s="7">
        <f t="shared" ref="AO3:AO13" si="2">(1+AN3)^(1/3)-1</f>
        <v>0.12935644664788581</v>
      </c>
      <c r="AP3" s="42" t="s">
        <v>108</v>
      </c>
      <c r="AQ3" s="8">
        <f>SUM(1+AL7)*(1+AL6)*(1+AL5)*(1+AL4)*(1+AL3)-1</f>
        <v>0.92692228075950345</v>
      </c>
      <c r="AR3" s="7">
        <f t="shared" ref="AR3:AR11" si="3">(1+AQ3)^(1/5)-1</f>
        <v>0.14017847979779496</v>
      </c>
      <c r="AS3" s="43" t="s">
        <v>109</v>
      </c>
      <c r="AT3" s="108">
        <f>SUM(1+AL12)*(1+AL11)*(1+AL10)*(1+AL9)*(1+AL8)*(1+AL7)*(1+AL6)*(1+AL5)*(1+AL4)*(1+AL3)-1</f>
        <v>2.0903981486367242</v>
      </c>
      <c r="AU3" s="10">
        <f>(1+AT3)^(1/10)-1</f>
        <v>0.11944160423114258</v>
      </c>
    </row>
    <row r="4" spans="1:47" ht="14.25" thickBot="1">
      <c r="A4" s="39">
        <v>104</v>
      </c>
      <c r="B4" s="122">
        <v>-1.7533248989415894E-2</v>
      </c>
      <c r="C4" s="41" t="s">
        <v>110</v>
      </c>
      <c r="D4" s="6">
        <f t="shared" ref="D4:D13" si="4">SUM(1+B6)*(1+B5)*(1+B4)-1</f>
        <v>0.27716549247867905</v>
      </c>
      <c r="E4" s="7">
        <f t="shared" ref="E4:E13" si="5">(1+D4)^(1/3)-1</f>
        <v>8.4964992104185066E-2</v>
      </c>
      <c r="F4" s="42" t="s">
        <v>111</v>
      </c>
      <c r="G4" s="8">
        <f t="shared" ref="G4:G11" si="6">SUM(1+B8)*(1+B7)*(1+B6)*(1+B5)*(1+B4)-1</f>
        <v>0.41892117757608704</v>
      </c>
      <c r="H4" s="7">
        <f t="shared" ref="H4:H11" si="7">(1+G4)^(1/5)-1</f>
        <v>7.2486055374320513E-2</v>
      </c>
      <c r="I4" s="43" t="s">
        <v>112</v>
      </c>
      <c r="J4" s="9">
        <f>SUM(1+B13)*(1+B12)*(1+B11)*(1+B10)*(1+B9)*(1+B8)*(1+B7)*(1+B6)*(1+B5)*(1+B4)-1</f>
        <v>2.0283087697628366</v>
      </c>
      <c r="K4" s="10">
        <f>(1+J4)^(1/10)-1</f>
        <v>0.11717193081519994</v>
      </c>
      <c r="M4" s="39">
        <v>104</v>
      </c>
      <c r="N4" s="122">
        <v>9.4340567015837831E-2</v>
      </c>
      <c r="O4" s="41" t="s">
        <v>110</v>
      </c>
      <c r="P4" s="6">
        <f t="shared" ref="P4:P13" si="8">SUM(1+N6)*(1+N5)*(1+N4)-1</f>
        <v>0.28107884137142047</v>
      </c>
      <c r="Q4" s="7">
        <f t="shared" ref="Q4:Q13" si="9">(1+P4)^(1/3)-1</f>
        <v>8.607200535388837E-2</v>
      </c>
      <c r="R4" s="42" t="s">
        <v>111</v>
      </c>
      <c r="S4" s="8">
        <f t="shared" ref="S4:S11" si="10">SUM(1+N8)*(1+N7)*(1+N6)*(1+N5)*(1+N4)-1</f>
        <v>0.4927094359165487</v>
      </c>
      <c r="T4" s="7">
        <f t="shared" ref="T4:T11" si="11">(1+S4)^(1/5)-1</f>
        <v>8.3415527574244974E-2</v>
      </c>
      <c r="U4" s="43" t="s">
        <v>112</v>
      </c>
      <c r="V4" s="9">
        <f>SUM(1+N13)*(1+N12)*(1+N11)*(1+N10)*(1+N9)*(1+N8)*(1+N7)*(1+N6)*(1+N5)*(1+N4)-1</f>
        <v>2.8464656267867579</v>
      </c>
      <c r="W4" s="10">
        <f>(1+V4)^(1/10)-1</f>
        <v>0.14421117649981952</v>
      </c>
      <c r="Y4" s="39">
        <v>104</v>
      </c>
      <c r="Z4" s="122">
        <v>5.9969526975552301E-2</v>
      </c>
      <c r="AA4" s="41" t="s">
        <v>110</v>
      </c>
      <c r="AB4" s="6">
        <f t="shared" ref="AB4:AB13" si="12">SUM(1+Z6)*(1+Z5)*(1+Z4)-1</f>
        <v>0.24084272705866039</v>
      </c>
      <c r="AC4" s="7">
        <f t="shared" si="0"/>
        <v>7.4580395691786761E-2</v>
      </c>
      <c r="AD4" s="42" t="s">
        <v>111</v>
      </c>
      <c r="AE4" s="8">
        <f t="shared" ref="AE4:AE11" si="13">SUM(1+Z8)*(1+Z7)*(1+Z6)*(1+Z5)*(1+Z4)-1</f>
        <v>0.40439605806383194</v>
      </c>
      <c r="AF4" s="7">
        <f t="shared" si="1"/>
        <v>7.028125780259975E-2</v>
      </c>
      <c r="AG4" s="43" t="s">
        <v>112</v>
      </c>
      <c r="AH4" s="108">
        <f>SUM(1+Z13)*(1+Z12)*(1+Z11)*(1+Z10)*(1+Z9)*(1+Z8)*(1+Z7)*(1+Z6)*(1+Z5)*(1+Z4)-1</f>
        <v>2.2095855612323652</v>
      </c>
      <c r="AI4" s="10">
        <f>(1+AH4)^(1/10)-1</f>
        <v>0.12368580785291661</v>
      </c>
      <c r="AJ4" s="26"/>
      <c r="AK4" s="39">
        <v>104</v>
      </c>
      <c r="AL4" s="122">
        <v>6.4378246859998541E-3</v>
      </c>
      <c r="AM4" s="41" t="s">
        <v>110</v>
      </c>
      <c r="AN4" s="6">
        <f t="shared" ref="AN4:AN13" si="14">SUM(1+AL6)*(1+AL5)*(1+AL4)-1</f>
        <v>0.39242526737120542</v>
      </c>
      <c r="AO4" s="7">
        <f t="shared" si="2"/>
        <v>0.11666772821386218</v>
      </c>
      <c r="AP4" s="42" t="s">
        <v>111</v>
      </c>
      <c r="AQ4" s="8">
        <f t="shared" ref="AQ4:AQ11" si="15">SUM(1+AL8)*(1+AL7)*(1+AL6)*(1+AL5)*(1+AL4)-1</f>
        <v>0.57595843050958395</v>
      </c>
      <c r="AR4" s="7">
        <f t="shared" si="3"/>
        <v>9.5239129905406505E-2</v>
      </c>
      <c r="AS4" s="43" t="s">
        <v>112</v>
      </c>
      <c r="AT4" s="108">
        <f>SUM(1+AL13)*(1+AL12)*(1+AL11)*(1+AL10)*(1+AL9)*(1+AL8)*(1+AL7)*(1+AL6)*(1+AL5)*(1+AL4)-1</f>
        <v>2.4318570408463307</v>
      </c>
      <c r="AU4" s="10">
        <f>(1+AT4)^(1/10)-1</f>
        <v>0.13123522208829352</v>
      </c>
    </row>
    <row r="5" spans="1:47" ht="14.25" thickBot="1">
      <c r="A5" s="44">
        <v>103</v>
      </c>
      <c r="B5" s="122">
        <v>0.11910921892909777</v>
      </c>
      <c r="C5" s="41" t="s">
        <v>113</v>
      </c>
      <c r="D5" s="6">
        <f t="shared" si="4"/>
        <v>0.48551501972563904</v>
      </c>
      <c r="E5" s="7">
        <f t="shared" si="5"/>
        <v>0.14101761493908294</v>
      </c>
      <c r="F5" s="42" t="s">
        <v>114</v>
      </c>
      <c r="G5" s="8">
        <f t="shared" si="6"/>
        <v>0.76693388122361239</v>
      </c>
      <c r="H5" s="7">
        <f t="shared" si="7"/>
        <v>0.12058307755045461</v>
      </c>
      <c r="I5" s="43" t="s">
        <v>115</v>
      </c>
      <c r="J5" s="9">
        <f>SUM(1+B14)*(1+B13)*(1+B12)*(1+B11)*(1+B10)*(1+B9)*(1+B8)*(1+B7)*(1+B6)*(1+B5)-1</f>
        <v>2.576749445192716</v>
      </c>
      <c r="K5" s="10">
        <f>(1+J5)^(1/10)-1</f>
        <v>0.13592289193215468</v>
      </c>
      <c r="M5" s="44">
        <v>103</v>
      </c>
      <c r="N5" s="123">
        <v>0</v>
      </c>
      <c r="O5" s="41" t="s">
        <v>113</v>
      </c>
      <c r="P5" s="6">
        <f t="shared" si="8"/>
        <v>0.33773808864526234</v>
      </c>
      <c r="Q5" s="7">
        <f t="shared" si="9"/>
        <v>0.1018530992172515</v>
      </c>
      <c r="R5" s="42" t="s">
        <v>114</v>
      </c>
      <c r="S5" s="8">
        <f t="shared" si="10"/>
        <v>0.78058980923384813</v>
      </c>
      <c r="T5" s="7">
        <f t="shared" si="11"/>
        <v>0.12230985557018159</v>
      </c>
      <c r="U5" s="43" t="s">
        <v>115</v>
      </c>
      <c r="V5" s="9">
        <f>SUM(1+N14)*(1+N13)*(1+N12)*(1+N11)*(1+N10)*(1+N9)*(1+N8)*(1+N7)*(1+N6)*(1+N5)-1</f>
        <v>3.0786419618471585</v>
      </c>
      <c r="W5" s="10">
        <f>(1+V5)^(1/10)-1</f>
        <v>0.15093701706068052</v>
      </c>
      <c r="Y5" s="44">
        <v>103</v>
      </c>
      <c r="Z5" s="122">
        <v>0</v>
      </c>
      <c r="AA5" s="41" t="s">
        <v>113</v>
      </c>
      <c r="AB5" s="6">
        <f t="shared" si="12"/>
        <v>0.33773808864526234</v>
      </c>
      <c r="AC5" s="7">
        <f t="shared" si="0"/>
        <v>0.1018530992172515</v>
      </c>
      <c r="AD5" s="42" t="s">
        <v>114</v>
      </c>
      <c r="AE5" s="8">
        <f t="shared" si="13"/>
        <v>0.68046866641756054</v>
      </c>
      <c r="AF5" s="7">
        <f t="shared" si="1"/>
        <v>0.10939469251473954</v>
      </c>
      <c r="AG5" s="43" t="s">
        <v>115</v>
      </c>
      <c r="AH5" s="108">
        <f>SUM(1+Z14)*(1+Z13)*(1+Z12)*(1+Z11)*(1+Z10)*(1+Z9)*(1+Z8)*(1+Z7)*(1+Z6)*(1+Z5)-1</f>
        <v>2.513676739688099</v>
      </c>
      <c r="AI5" s="10">
        <f>(1+AH5)^(1/10)-1</f>
        <v>0.13390372072389933</v>
      </c>
      <c r="AJ5" s="26"/>
      <c r="AK5" s="44">
        <v>103</v>
      </c>
      <c r="AL5" s="123">
        <v>0.18184789375389088</v>
      </c>
      <c r="AM5" s="41" t="s">
        <v>113</v>
      </c>
      <c r="AN5" s="6">
        <f t="shared" si="14"/>
        <v>0.58100294245975892</v>
      </c>
      <c r="AO5" s="7">
        <f t="shared" si="2"/>
        <v>0.16495967550866131</v>
      </c>
      <c r="AP5" s="42" t="s">
        <v>114</v>
      </c>
      <c r="AQ5" s="8">
        <f t="shared" si="15"/>
        <v>0.81460054565072348</v>
      </c>
      <c r="AR5" s="7">
        <f t="shared" si="3"/>
        <v>0.12656487790500126</v>
      </c>
      <c r="AS5" s="43" t="s">
        <v>115</v>
      </c>
      <c r="AT5" s="108">
        <f>SUM(1+AL14)*(1+AL13)*(1+AL12)*(1+AL11)*(1+AL10)*(1+AL9)*(1+AL8)*(1+AL7)*(1+AL6)*(1+AL5)-1</f>
        <v>2.9568397685473098</v>
      </c>
      <c r="AU5" s="10">
        <f>(1+AT5)^(1/10)-1</f>
        <v>0.14745284318196994</v>
      </c>
    </row>
    <row r="6" spans="1:47" ht="14.25" thickBot="1">
      <c r="A6" s="44">
        <v>102</v>
      </c>
      <c r="B6" s="122">
        <v>0.16160063505809338</v>
      </c>
      <c r="C6" s="41" t="s">
        <v>116</v>
      </c>
      <c r="D6" s="6">
        <f t="shared" si="4"/>
        <v>0.29052949729400557</v>
      </c>
      <c r="E6" s="7">
        <f t="shared" si="5"/>
        <v>8.8736154679859736E-2</v>
      </c>
      <c r="F6" s="42" t="s">
        <v>117</v>
      </c>
      <c r="G6" s="8">
        <f t="shared" si="6"/>
        <v>1.5498604161118514</v>
      </c>
      <c r="H6" s="7">
        <f t="shared" si="7"/>
        <v>0.20587774851773366</v>
      </c>
      <c r="I6" s="43" t="s">
        <v>118</v>
      </c>
      <c r="J6" s="9">
        <f>SUM(1+B15)*(1+B14)*(1+B13)*(1+B12)*(1+B11)*(1+B10)*(1+B9)*(1+B8)*(1+B7)*(1+B6)-1</f>
        <v>2.486201219799022</v>
      </c>
      <c r="K6" s="10">
        <f>(1+J6)^(1/10)-1</f>
        <v>0.13301391867704448</v>
      </c>
      <c r="M6" s="44">
        <v>102</v>
      </c>
      <c r="N6" s="122">
        <v>0.17063999999999999</v>
      </c>
      <c r="O6" s="41" t="s">
        <v>116</v>
      </c>
      <c r="P6" s="6">
        <f t="shared" si="8"/>
        <v>0.36402641088872789</v>
      </c>
      <c r="Q6" s="7">
        <f t="shared" si="9"/>
        <v>0.10902395353148697</v>
      </c>
      <c r="R6" s="42" t="s">
        <v>117</v>
      </c>
      <c r="S6" s="8">
        <f t="shared" si="10"/>
        <v>1.8756264220680223</v>
      </c>
      <c r="T6" s="7">
        <f t="shared" si="11"/>
        <v>0.23522619516674115</v>
      </c>
      <c r="U6" s="43" t="s">
        <v>118</v>
      </c>
      <c r="V6" s="9">
        <f>SUM(1+N15)*(1+N14)*(1+N13)*(1+N12)*(1+N11)*(1+N10)*(1+N9)*(1+N8)*(1+N7)*(1+N6)-1</f>
        <v>3.4488932842428897</v>
      </c>
      <c r="W6" s="10">
        <f>(1+V6)^(1/10)-1</f>
        <v>0.16098123118415897</v>
      </c>
      <c r="Y6" s="44">
        <v>102</v>
      </c>
      <c r="Z6" s="122">
        <v>0.17063999999999999</v>
      </c>
      <c r="AA6" s="41" t="s">
        <v>116</v>
      </c>
      <c r="AB6" s="6">
        <f t="shared" si="12"/>
        <v>0.32494003112621916</v>
      </c>
      <c r="AC6" s="7">
        <f t="shared" si="0"/>
        <v>9.8328047077781422E-2</v>
      </c>
      <c r="AD6" s="42" t="s">
        <v>117</v>
      </c>
      <c r="AE6" s="8">
        <f t="shared" si="13"/>
        <v>1.7139322451177206</v>
      </c>
      <c r="AF6" s="7">
        <f t="shared" si="1"/>
        <v>0.22101162898276461</v>
      </c>
      <c r="AG6" s="43" t="s">
        <v>118</v>
      </c>
      <c r="AH6" s="108">
        <f>SUM(1+Z15)*(1+Z14)*(1+Z13)*(1+Z12)*(1+Z11)*(1+Z10)*(1+Z9)*(1+Z8)*(1+Z7)*(1+Z6)-1</f>
        <v>2.832641598950091</v>
      </c>
      <c r="AI6" s="10">
        <f>(1+AH6)^(1/10)-1</f>
        <v>0.14379928546596155</v>
      </c>
      <c r="AJ6" s="26"/>
      <c r="AK6" s="44">
        <v>102</v>
      </c>
      <c r="AL6" s="122">
        <v>0.17063999999999999</v>
      </c>
      <c r="AM6" s="41" t="s">
        <v>116</v>
      </c>
      <c r="AN6" s="6">
        <f t="shared" si="14"/>
        <v>0.32494003112621916</v>
      </c>
      <c r="AO6" s="7">
        <f t="shared" si="2"/>
        <v>9.8328047077781422E-2</v>
      </c>
      <c r="AP6" s="42" t="s">
        <v>117</v>
      </c>
      <c r="AQ6" s="8">
        <f t="shared" si="15"/>
        <v>1.4796365741807764</v>
      </c>
      <c r="AR6" s="7">
        <f t="shared" si="3"/>
        <v>0.19916130669457366</v>
      </c>
      <c r="AS6" s="43" t="s">
        <v>118</v>
      </c>
      <c r="AT6" s="108">
        <f>SUM(1+AL15)*(1+AL14)*(1+AL13)*(1+AL12)*(1+AL11)*(1+AL10)*(1+AL9)*(1+AL8)*(1+AL7)*(1+AL6)-1</f>
        <v>2.6519370584218693</v>
      </c>
      <c r="AU6" s="10">
        <f>(1+AT6)^(1/10)-1</f>
        <v>0.13828844793792938</v>
      </c>
    </row>
    <row r="7" spans="1:47" ht="14.25" thickBot="1">
      <c r="A7" s="44">
        <v>101</v>
      </c>
      <c r="B7" s="122">
        <v>0.14274079874706344</v>
      </c>
      <c r="C7" s="41" t="s">
        <v>119</v>
      </c>
      <c r="D7" s="6">
        <f t="shared" si="4"/>
        <v>0.35922384354998838</v>
      </c>
      <c r="E7" s="7">
        <f t="shared" si="5"/>
        <v>0.10772084450353536</v>
      </c>
      <c r="F7" s="42" t="s">
        <v>120</v>
      </c>
      <c r="G7" s="8">
        <f t="shared" si="6"/>
        <v>0.48425661703164269</v>
      </c>
      <c r="H7" s="7">
        <f t="shared" si="7"/>
        <v>8.2185719640883281E-2</v>
      </c>
      <c r="I7" s="45"/>
      <c r="J7" s="11"/>
      <c r="K7" s="12"/>
      <c r="M7" s="44">
        <v>101</v>
      </c>
      <c r="N7" s="122">
        <v>0.14274079874706344</v>
      </c>
      <c r="O7" s="41" t="s">
        <v>119</v>
      </c>
      <c r="P7" s="6">
        <f t="shared" si="8"/>
        <v>0.52103961015670763</v>
      </c>
      <c r="Q7" s="7">
        <f t="shared" si="9"/>
        <v>0.15004148814575125</v>
      </c>
      <c r="R7" s="42" t="s">
        <v>120</v>
      </c>
      <c r="S7" s="8">
        <f t="shared" si="10"/>
        <v>0.81700675130841227</v>
      </c>
      <c r="T7" s="7">
        <f t="shared" si="11"/>
        <v>0.12686349019464904</v>
      </c>
      <c r="U7" s="45"/>
      <c r="V7" s="11"/>
      <c r="W7" s="12"/>
      <c r="Y7" s="44">
        <v>101</v>
      </c>
      <c r="Z7" s="122">
        <v>0.14274079874706344</v>
      </c>
      <c r="AA7" s="41" t="s">
        <v>119</v>
      </c>
      <c r="AB7" s="6">
        <f t="shared" si="12"/>
        <v>0.43551276773180536</v>
      </c>
      <c r="AC7" s="7">
        <f t="shared" si="0"/>
        <v>0.12806905661440848</v>
      </c>
      <c r="AD7" s="42" t="s">
        <v>120</v>
      </c>
      <c r="AE7" s="8">
        <f t="shared" si="13"/>
        <v>0.61984130267026205</v>
      </c>
      <c r="AF7" s="7">
        <f t="shared" si="1"/>
        <v>0.10127173708124215</v>
      </c>
      <c r="AG7" s="45"/>
      <c r="AH7" s="11"/>
      <c r="AI7" s="12"/>
      <c r="AJ7" s="26"/>
      <c r="AK7" s="44">
        <v>101</v>
      </c>
      <c r="AL7" s="122">
        <v>0.14274079874706344</v>
      </c>
      <c r="AM7" s="41" t="s">
        <v>119</v>
      </c>
      <c r="AN7" s="6">
        <f t="shared" si="14"/>
        <v>0.31158394538949108</v>
      </c>
      <c r="AO7" s="7">
        <f t="shared" si="2"/>
        <v>9.4625003230975002E-2</v>
      </c>
      <c r="AP7" s="42" t="s">
        <v>120</v>
      </c>
      <c r="AQ7" s="8">
        <f t="shared" si="15"/>
        <v>0.54346769173626486</v>
      </c>
      <c r="AR7" s="7">
        <f t="shared" si="3"/>
        <v>9.0685422490208945E-2</v>
      </c>
      <c r="AS7" s="45"/>
      <c r="AT7" s="11"/>
      <c r="AU7" s="12"/>
    </row>
    <row r="8" spans="1:47" ht="14.25" thickBot="1">
      <c r="A8" s="44">
        <v>100</v>
      </c>
      <c r="B8" s="122">
        <v>-2.77826622120626E-2</v>
      </c>
      <c r="C8" s="41" t="s">
        <v>121</v>
      </c>
      <c r="D8" s="6">
        <f t="shared" si="4"/>
        <v>0.92093130043221483</v>
      </c>
      <c r="E8" s="7">
        <f t="shared" si="5"/>
        <v>0.24309392593888446</v>
      </c>
      <c r="F8" s="42" t="s">
        <v>122</v>
      </c>
      <c r="G8" s="8">
        <f t="shared" si="6"/>
        <v>0.54292892946015536</v>
      </c>
      <c r="H8" s="7">
        <f t="shared" si="7"/>
        <v>9.060926900453925E-2</v>
      </c>
      <c r="I8" s="46"/>
      <c r="J8" s="13"/>
      <c r="K8" s="14"/>
      <c r="M8" s="44">
        <v>100</v>
      </c>
      <c r="N8" s="123">
        <v>1.9651322233104812E-2</v>
      </c>
      <c r="O8" s="41" t="s">
        <v>121</v>
      </c>
      <c r="P8" s="6">
        <f t="shared" si="8"/>
        <v>1.1496184092210395</v>
      </c>
      <c r="Q8" s="7">
        <f t="shared" si="9"/>
        <v>0.2905865187834662</v>
      </c>
      <c r="R8" s="42" t="s">
        <v>122</v>
      </c>
      <c r="S8" s="8">
        <f t="shared" si="10"/>
        <v>0.95379476282735154</v>
      </c>
      <c r="T8" s="7">
        <f t="shared" si="11"/>
        <v>0.14334102826202288</v>
      </c>
      <c r="U8" s="46"/>
      <c r="V8" s="13"/>
      <c r="W8" s="14"/>
      <c r="Y8" s="44">
        <v>100</v>
      </c>
      <c r="Z8" s="122">
        <v>-9.5669381231448074E-3</v>
      </c>
      <c r="AA8" s="41" t="s">
        <v>121</v>
      </c>
      <c r="AB8" s="6">
        <f t="shared" si="12"/>
        <v>1.0287470829705843</v>
      </c>
      <c r="AC8" s="7">
        <f t="shared" si="0"/>
        <v>0.26592886581047215</v>
      </c>
      <c r="AD8" s="42" t="s">
        <v>122</v>
      </c>
      <c r="AE8" s="8">
        <f t="shared" si="13"/>
        <v>0.68315907022194922</v>
      </c>
      <c r="AF8" s="7">
        <f t="shared" si="1"/>
        <v>0.10974968992698342</v>
      </c>
      <c r="AG8" s="46"/>
      <c r="AH8" s="13"/>
      <c r="AI8" s="14"/>
      <c r="AJ8" s="26"/>
      <c r="AK8" s="44">
        <v>100</v>
      </c>
      <c r="AL8" s="123">
        <v>-9.5669381231448074E-3</v>
      </c>
      <c r="AM8" s="41" t="s">
        <v>121</v>
      </c>
      <c r="AN8" s="6">
        <f t="shared" si="14"/>
        <v>0.85360392682840014</v>
      </c>
      <c r="AO8" s="7">
        <f t="shared" si="2"/>
        <v>0.22839765943658197</v>
      </c>
      <c r="AP8" s="42" t="s">
        <v>122</v>
      </c>
      <c r="AQ8" s="8">
        <f t="shared" si="15"/>
        <v>0.60380010107031046</v>
      </c>
      <c r="AR8" s="7">
        <f t="shared" si="3"/>
        <v>9.9081878396647172E-2</v>
      </c>
      <c r="AS8" s="46"/>
      <c r="AT8" s="13"/>
      <c r="AU8" s="14"/>
    </row>
    <row r="9" spans="1:47" ht="14.25" thickBot="1">
      <c r="A9" s="44">
        <v>99</v>
      </c>
      <c r="B9" s="122">
        <v>0.22343215181394133</v>
      </c>
      <c r="C9" s="41" t="s">
        <v>123</v>
      </c>
      <c r="D9" s="6">
        <f t="shared" si="4"/>
        <v>0.33597367014723067</v>
      </c>
      <c r="E9" s="7">
        <f t="shared" si="5"/>
        <v>0.10136845393559213</v>
      </c>
      <c r="F9" s="42" t="s">
        <v>124</v>
      </c>
      <c r="G9" s="8">
        <f t="shared" si="6"/>
        <v>1.1342332594795939</v>
      </c>
      <c r="H9" s="7">
        <f t="shared" si="7"/>
        <v>0.16371967425325429</v>
      </c>
      <c r="I9" s="46"/>
      <c r="J9" s="13"/>
      <c r="K9" s="14"/>
      <c r="M9" s="44">
        <v>99</v>
      </c>
      <c r="N9" s="122">
        <v>0.30539247262353914</v>
      </c>
      <c r="O9" s="41" t="s">
        <v>123</v>
      </c>
      <c r="P9" s="6">
        <f t="shared" si="8"/>
        <v>0.55939853244175719</v>
      </c>
      <c r="Q9" s="7">
        <f t="shared" si="9"/>
        <v>0.15962892719831756</v>
      </c>
      <c r="R9" s="42" t="s">
        <v>124</v>
      </c>
      <c r="S9" s="8">
        <f t="shared" si="10"/>
        <v>1.5768348040387132</v>
      </c>
      <c r="T9" s="7">
        <f t="shared" si="11"/>
        <v>0.20841836128971503</v>
      </c>
      <c r="U9" s="46"/>
      <c r="V9" s="13"/>
      <c r="W9" s="14"/>
      <c r="Y9" s="44">
        <v>99</v>
      </c>
      <c r="Z9" s="122">
        <v>0.26833564307747326</v>
      </c>
      <c r="AA9" s="41" t="s">
        <v>123</v>
      </c>
      <c r="AB9" s="6">
        <f t="shared" si="12"/>
        <v>0.43119762254150729</v>
      </c>
      <c r="AC9" s="7">
        <f t="shared" si="0"/>
        <v>0.1269375985631751</v>
      </c>
      <c r="AD9" s="42" t="s">
        <v>124</v>
      </c>
      <c r="AE9" s="8">
        <f t="shared" si="13"/>
        <v>1.2853849117586207</v>
      </c>
      <c r="AF9" s="7">
        <f t="shared" si="1"/>
        <v>0.17975512096928248</v>
      </c>
      <c r="AG9" s="46"/>
      <c r="AH9" s="13"/>
      <c r="AI9" s="14"/>
      <c r="AJ9" s="26"/>
      <c r="AK9" s="44">
        <v>99</v>
      </c>
      <c r="AL9" s="122">
        <v>0.15883933895909746</v>
      </c>
      <c r="AM9" s="41" t="s">
        <v>123</v>
      </c>
      <c r="AN9" s="6">
        <f t="shared" si="14"/>
        <v>0.36371833909969142</v>
      </c>
      <c r="AO9" s="7">
        <f t="shared" si="2"/>
        <v>0.10894045448393341</v>
      </c>
      <c r="AP9" s="42" t="s">
        <v>124</v>
      </c>
      <c r="AQ9" s="8">
        <f t="shared" si="15"/>
        <v>1.1776317029736916</v>
      </c>
      <c r="AR9" s="7">
        <f t="shared" si="3"/>
        <v>0.1684143606188313</v>
      </c>
      <c r="AS9" s="46"/>
      <c r="AT9" s="13"/>
      <c r="AU9" s="14"/>
    </row>
    <row r="10" spans="1:47" ht="14.25" thickBot="1">
      <c r="A10" s="44">
        <v>98</v>
      </c>
      <c r="B10" s="122">
        <v>0.6149853307906703</v>
      </c>
      <c r="C10" s="41" t="s">
        <v>125</v>
      </c>
      <c r="D10" s="6">
        <f t="shared" si="4"/>
        <v>0.29718724816969777</v>
      </c>
      <c r="E10" s="7">
        <f t="shared" si="5"/>
        <v>9.060518203460366E-2</v>
      </c>
      <c r="F10" s="42" t="s">
        <v>126</v>
      </c>
      <c r="G10" s="8">
        <f t="shared" si="6"/>
        <v>1.0242689798419593</v>
      </c>
      <c r="H10" s="7">
        <f t="shared" si="7"/>
        <v>0.15147269512234129</v>
      </c>
      <c r="I10" s="47"/>
      <c r="J10" s="13"/>
      <c r="K10" s="14"/>
      <c r="M10" s="44">
        <v>98</v>
      </c>
      <c r="N10" s="122">
        <v>0.6149853307906703</v>
      </c>
      <c r="O10" s="41" t="s">
        <v>125</v>
      </c>
      <c r="P10" s="6">
        <f t="shared" si="8"/>
        <v>0.46786511866783753</v>
      </c>
      <c r="Q10" s="7">
        <f t="shared" si="9"/>
        <v>0.13648066148930726</v>
      </c>
      <c r="R10" s="42" t="s">
        <v>126</v>
      </c>
      <c r="S10" s="8">
        <f t="shared" si="10"/>
        <v>1.2906128860762807</v>
      </c>
      <c r="T10" s="7">
        <f t="shared" si="11"/>
        <v>0.18029438186440494</v>
      </c>
      <c r="U10" s="47"/>
      <c r="V10" s="13"/>
      <c r="W10" s="14"/>
      <c r="Y10" s="44">
        <v>98</v>
      </c>
      <c r="Z10" s="122">
        <v>0.6149853307906703</v>
      </c>
      <c r="AA10" s="41" t="s">
        <v>125</v>
      </c>
      <c r="AB10" s="6">
        <f t="shared" si="12"/>
        <v>0.3398797862055265</v>
      </c>
      <c r="AC10" s="7">
        <f t="shared" si="0"/>
        <v>0.1024408021664458</v>
      </c>
      <c r="AD10" s="42" t="s">
        <v>126</v>
      </c>
      <c r="AE10" s="8">
        <f t="shared" si="13"/>
        <v>1.0908909579246067</v>
      </c>
      <c r="AF10" s="7">
        <f t="shared" si="1"/>
        <v>0.15895420858471465</v>
      </c>
      <c r="AG10" s="47"/>
      <c r="AH10" s="13"/>
      <c r="AI10" s="14"/>
      <c r="AJ10" s="26"/>
      <c r="AK10" s="44">
        <v>98</v>
      </c>
      <c r="AL10" s="122">
        <v>0.6149853307906703</v>
      </c>
      <c r="AM10" s="41" t="s">
        <v>125</v>
      </c>
      <c r="AN10" s="6">
        <f t="shared" si="14"/>
        <v>0.39733931249322851</v>
      </c>
      <c r="AO10" s="7">
        <f t="shared" si="2"/>
        <v>0.11797980653905271</v>
      </c>
      <c r="AP10" s="42" t="s">
        <v>126</v>
      </c>
      <c r="AQ10" s="8">
        <f t="shared" si="15"/>
        <v>1.1805569154220494</v>
      </c>
      <c r="AR10" s="7">
        <f t="shared" si="3"/>
        <v>0.168728098265295</v>
      </c>
      <c r="AS10" s="47"/>
      <c r="AT10" s="13"/>
      <c r="AU10" s="14"/>
    </row>
    <row r="11" spans="1:47" ht="14.25" thickBot="1">
      <c r="A11" s="44">
        <v>97</v>
      </c>
      <c r="B11" s="122">
        <v>-0.32384007452370933</v>
      </c>
      <c r="C11" s="103" t="s">
        <v>127</v>
      </c>
      <c r="D11" s="106">
        <f t="shared" si="4"/>
        <v>8.0173235389967346E-2</v>
      </c>
      <c r="E11" s="124">
        <f t="shared" si="5"/>
        <v>2.6040422175039657E-2</v>
      </c>
      <c r="F11" s="104" t="s">
        <v>128</v>
      </c>
      <c r="G11" s="48">
        <f t="shared" si="6"/>
        <v>0.36721257280229769</v>
      </c>
      <c r="H11" s="7">
        <f t="shared" si="7"/>
        <v>6.4552805202569896E-2</v>
      </c>
      <c r="I11" s="47"/>
      <c r="J11" s="13"/>
      <c r="K11" s="14"/>
      <c r="M11" s="44">
        <v>97</v>
      </c>
      <c r="N11" s="122">
        <v>-0.26031393819855358</v>
      </c>
      <c r="O11" s="103" t="s">
        <v>127</v>
      </c>
      <c r="P11" s="6">
        <f t="shared" si="8"/>
        <v>0.22229741048155538</v>
      </c>
      <c r="Q11" s="7">
        <f t="shared" si="9"/>
        <v>6.920003399659147E-2</v>
      </c>
      <c r="R11" s="105" t="s">
        <v>128</v>
      </c>
      <c r="S11" s="8">
        <f t="shared" si="10"/>
        <v>0.54710405013021246</v>
      </c>
      <c r="T11" s="7">
        <f t="shared" si="11"/>
        <v>9.1198862553216742E-2</v>
      </c>
      <c r="U11" s="47"/>
      <c r="V11" s="13"/>
      <c r="W11" s="14"/>
      <c r="Y11" s="44">
        <v>97</v>
      </c>
      <c r="Z11" s="122">
        <v>-0.30129021239597564</v>
      </c>
      <c r="AA11" s="103" t="s">
        <v>127</v>
      </c>
      <c r="AB11" s="106">
        <f t="shared" si="12"/>
        <v>0.11572348999063342</v>
      </c>
      <c r="AC11" s="124">
        <f t="shared" si="0"/>
        <v>3.7175363468940015E-2</v>
      </c>
      <c r="AD11" s="104" t="s">
        <v>128</v>
      </c>
      <c r="AE11" s="48">
        <f t="shared" si="13"/>
        <v>0.41220975794251835</v>
      </c>
      <c r="AF11" s="7">
        <f t="shared" si="1"/>
        <v>7.1469570295887408E-2</v>
      </c>
      <c r="AG11" s="47"/>
      <c r="AH11" s="13"/>
      <c r="AI11" s="14"/>
      <c r="AJ11" s="26"/>
      <c r="AK11" s="44">
        <v>97</v>
      </c>
      <c r="AL11" s="122">
        <v>-0.27132667848671055</v>
      </c>
      <c r="AM11" s="103" t="s">
        <v>127</v>
      </c>
      <c r="AN11" s="6">
        <f t="shared" si="14"/>
        <v>0.16357027733897977</v>
      </c>
      <c r="AO11" s="7">
        <f t="shared" si="2"/>
        <v>5.1794445488067442E-2</v>
      </c>
      <c r="AP11" s="105" t="s">
        <v>128</v>
      </c>
      <c r="AQ11" s="8">
        <f t="shared" si="15"/>
        <v>0.47277108929900225</v>
      </c>
      <c r="AR11" s="7">
        <f t="shared" si="3"/>
        <v>8.0505669650459355E-2</v>
      </c>
      <c r="AS11" s="47"/>
      <c r="AT11" s="13"/>
      <c r="AU11" s="14"/>
    </row>
    <row r="12" spans="1:47" ht="14.25" thickBot="1">
      <c r="A12" s="44">
        <v>96</v>
      </c>
      <c r="B12" s="122">
        <v>0.18791307178902816</v>
      </c>
      <c r="C12" s="41" t="s">
        <v>129</v>
      </c>
      <c r="D12" s="6">
        <f t="shared" si="4"/>
        <v>0.85374593017640255</v>
      </c>
      <c r="E12" s="7">
        <f t="shared" si="5"/>
        <v>0.22842902754125882</v>
      </c>
      <c r="F12" s="179"/>
      <c r="G12" s="179"/>
      <c r="H12" s="179"/>
      <c r="I12" s="179"/>
      <c r="J12" s="179"/>
      <c r="K12" s="180"/>
      <c r="M12" s="44">
        <v>96</v>
      </c>
      <c r="N12" s="122">
        <v>0.22876868027783626</v>
      </c>
      <c r="O12" s="41" t="s">
        <v>129</v>
      </c>
      <c r="P12" s="6">
        <f t="shared" si="8"/>
        <v>0.91750136797703941</v>
      </c>
      <c r="Q12" s="7">
        <f t="shared" si="9"/>
        <v>0.24235361342644102</v>
      </c>
      <c r="R12" s="179"/>
      <c r="S12" s="179"/>
      <c r="T12" s="179"/>
      <c r="U12" s="179"/>
      <c r="V12" s="179"/>
      <c r="W12" s="180"/>
      <c r="Y12" s="44">
        <v>96</v>
      </c>
      <c r="Z12" s="122">
        <v>0.18740924629659775</v>
      </c>
      <c r="AA12" s="41" t="s">
        <v>129</v>
      </c>
      <c r="AB12" s="6">
        <f t="shared" si="12"/>
        <v>0.85295970727988601</v>
      </c>
      <c r="AC12" s="7">
        <f t="shared" si="0"/>
        <v>0.22825533318760338</v>
      </c>
      <c r="AD12" s="179"/>
      <c r="AE12" s="179"/>
      <c r="AF12" s="179"/>
      <c r="AG12" s="179"/>
      <c r="AH12" s="179"/>
      <c r="AI12" s="180"/>
      <c r="AJ12" s="26"/>
      <c r="AK12" s="44">
        <v>96</v>
      </c>
      <c r="AL12" s="122">
        <v>0.18740924629659775</v>
      </c>
      <c r="AM12" s="41" t="s">
        <v>129</v>
      </c>
      <c r="AN12" s="6">
        <f t="shared" si="14"/>
        <v>0.85295970727988601</v>
      </c>
      <c r="AO12" s="7">
        <f t="shared" si="2"/>
        <v>0.22825533318760338</v>
      </c>
      <c r="AP12" s="179"/>
      <c r="AQ12" s="179"/>
      <c r="AR12" s="179"/>
      <c r="AS12" s="179"/>
      <c r="AT12" s="179"/>
      <c r="AU12" s="180"/>
    </row>
    <row r="13" spans="1:47" ht="14.25" thickBot="1">
      <c r="A13" s="44">
        <v>95</v>
      </c>
      <c r="B13" s="122">
        <v>0.34480502512562816</v>
      </c>
      <c r="C13" s="41" t="s">
        <v>130</v>
      </c>
      <c r="D13" s="6">
        <f t="shared" si="4"/>
        <v>0.70216616935123355</v>
      </c>
      <c r="E13" s="7">
        <f t="shared" si="5"/>
        <v>0.19398989573437775</v>
      </c>
      <c r="F13" s="179"/>
      <c r="G13" s="179"/>
      <c r="H13" s="179"/>
      <c r="I13" s="179"/>
      <c r="J13" s="179"/>
      <c r="K13" s="180"/>
      <c r="M13" s="44">
        <v>95</v>
      </c>
      <c r="N13" s="122">
        <v>0.34480502512562816</v>
      </c>
      <c r="O13" s="41" t="s">
        <v>130</v>
      </c>
      <c r="P13" s="6">
        <f t="shared" si="8"/>
        <v>0.70216616935123355</v>
      </c>
      <c r="Q13" s="7">
        <f t="shared" si="9"/>
        <v>0.19398989573437775</v>
      </c>
      <c r="R13" s="179"/>
      <c r="S13" s="179"/>
      <c r="T13" s="179"/>
      <c r="U13" s="179"/>
      <c r="V13" s="179"/>
      <c r="W13" s="180"/>
      <c r="Y13" s="44">
        <v>95</v>
      </c>
      <c r="Z13" s="122">
        <v>0.34480502512562816</v>
      </c>
      <c r="AA13" s="41" t="s">
        <v>130</v>
      </c>
      <c r="AB13" s="6">
        <f t="shared" si="12"/>
        <v>0.70216616935123355</v>
      </c>
      <c r="AC13" s="7">
        <f t="shared" si="0"/>
        <v>0.19398989573437775</v>
      </c>
      <c r="AD13" s="179"/>
      <c r="AE13" s="179"/>
      <c r="AF13" s="179"/>
      <c r="AG13" s="179"/>
      <c r="AH13" s="179"/>
      <c r="AI13" s="180"/>
      <c r="AJ13" s="26"/>
      <c r="AK13" s="44">
        <v>95</v>
      </c>
      <c r="AL13" s="122">
        <v>0.34480502512562816</v>
      </c>
      <c r="AM13" s="41" t="s">
        <v>130</v>
      </c>
      <c r="AN13" s="6">
        <f t="shared" si="14"/>
        <v>0.70216616935123355</v>
      </c>
      <c r="AO13" s="7">
        <f t="shared" si="2"/>
        <v>0.19398989573437775</v>
      </c>
      <c r="AP13" s="179"/>
      <c r="AQ13" s="179"/>
      <c r="AR13" s="179"/>
      <c r="AS13" s="179"/>
      <c r="AT13" s="179"/>
      <c r="AU13" s="180"/>
    </row>
    <row r="14" spans="1:47" ht="15" customHeight="1" thickBot="1">
      <c r="A14" s="44">
        <v>94</v>
      </c>
      <c r="B14" s="122">
        <v>0.16039600772698001</v>
      </c>
      <c r="C14" s="99"/>
      <c r="D14" s="100"/>
      <c r="E14" s="100"/>
      <c r="F14" s="100"/>
      <c r="G14" s="100"/>
      <c r="H14" s="100"/>
      <c r="I14" s="100"/>
      <c r="J14" s="100"/>
      <c r="K14" s="101"/>
      <c r="M14" s="44">
        <v>94</v>
      </c>
      <c r="N14" s="122">
        <v>0.16039600772698001</v>
      </c>
      <c r="O14" s="99"/>
      <c r="P14" s="100"/>
      <c r="Q14" s="100"/>
      <c r="R14" s="100"/>
      <c r="S14" s="100"/>
      <c r="T14" s="100"/>
      <c r="U14" s="100"/>
      <c r="V14" s="100"/>
      <c r="W14" s="101"/>
      <c r="Y14" s="44">
        <v>94</v>
      </c>
      <c r="Z14" s="122">
        <v>0.16039600772698001</v>
      </c>
      <c r="AA14" s="99"/>
      <c r="AB14" s="100"/>
      <c r="AC14" s="100"/>
      <c r="AD14" s="100"/>
      <c r="AE14" s="100"/>
      <c r="AF14" s="100"/>
      <c r="AG14" s="100"/>
      <c r="AH14" s="100"/>
      <c r="AI14" s="101"/>
      <c r="AJ14" s="26"/>
      <c r="AK14" s="44">
        <v>94</v>
      </c>
      <c r="AL14" s="122">
        <v>0.16039600772698001</v>
      </c>
      <c r="AM14" s="99"/>
      <c r="AN14" s="100"/>
      <c r="AO14" s="100"/>
      <c r="AP14" s="100"/>
      <c r="AQ14" s="100"/>
      <c r="AR14" s="100"/>
      <c r="AS14" s="100"/>
      <c r="AT14" s="100"/>
      <c r="AU14" s="101"/>
    </row>
    <row r="15" spans="1:47" ht="15" customHeight="1" thickBot="1">
      <c r="A15" s="44">
        <v>93</v>
      </c>
      <c r="B15" s="122">
        <v>9.0778088848977867E-2</v>
      </c>
      <c r="C15" s="197" t="s">
        <v>131</v>
      </c>
      <c r="D15" s="198"/>
      <c r="E15" s="225">
        <f>SUM(E3:E14)/11</f>
        <v>0.12782717696679591</v>
      </c>
      <c r="F15" s="197" t="s">
        <v>132</v>
      </c>
      <c r="G15" s="198"/>
      <c r="H15" s="225">
        <f>SUM(H3:H14)/9</f>
        <v>0.11912573629245039</v>
      </c>
      <c r="I15" s="197" t="s">
        <v>133</v>
      </c>
      <c r="J15" s="198"/>
      <c r="K15" s="226">
        <f>SUM(K3:K6)/4</f>
        <v>0.12290841757346083</v>
      </c>
      <c r="M15" s="44">
        <v>93</v>
      </c>
      <c r="N15" s="40">
        <v>9.0778088848977867E-2</v>
      </c>
      <c r="O15" s="197" t="s">
        <v>131</v>
      </c>
      <c r="P15" s="198"/>
      <c r="Q15" s="225">
        <f>SUM(Q3:Q14)/11</f>
        <v>0.14966287660180452</v>
      </c>
      <c r="R15" s="197" t="s">
        <v>132</v>
      </c>
      <c r="S15" s="198"/>
      <c r="T15" s="225">
        <f>SUM(T3:T14)/9</f>
        <v>0.14640968641268198</v>
      </c>
      <c r="U15" s="197" t="s">
        <v>133</v>
      </c>
      <c r="V15" s="198"/>
      <c r="W15" s="226">
        <f>SUM(W3:W6)/4</f>
        <v>0.14776972036293906</v>
      </c>
      <c r="Y15" s="44">
        <v>93</v>
      </c>
      <c r="Z15" s="40">
        <v>9.0778088848977867E-2</v>
      </c>
      <c r="AA15" s="197" t="s">
        <v>131</v>
      </c>
      <c r="AB15" s="198"/>
      <c r="AC15" s="225">
        <f>SUM(AC3:AC14)/11</f>
        <v>0.13142682360083574</v>
      </c>
      <c r="AD15" s="197" t="s">
        <v>132</v>
      </c>
      <c r="AE15" s="198"/>
      <c r="AF15" s="225">
        <f>SUM(AF3:AF14)/9</f>
        <v>0.12632356071980008</v>
      </c>
      <c r="AG15" s="197" t="s">
        <v>133</v>
      </c>
      <c r="AH15" s="198"/>
      <c r="AI15" s="226">
        <f>SUM(AI3:AI6)/4</f>
        <v>0.12844315075521179</v>
      </c>
      <c r="AJ15" s="26"/>
      <c r="AK15" s="44">
        <v>93</v>
      </c>
      <c r="AL15" s="122">
        <v>9.0778088848977867E-2</v>
      </c>
      <c r="AM15" s="197" t="s">
        <v>131</v>
      </c>
      <c r="AN15" s="198"/>
      <c r="AO15" s="225">
        <f>SUM(AO3:AO14)/11</f>
        <v>0.13939040868625294</v>
      </c>
      <c r="AP15" s="197" t="s">
        <v>132</v>
      </c>
      <c r="AQ15" s="198"/>
      <c r="AR15" s="225">
        <f>SUM(AR3:AR14)/9</f>
        <v>0.12983991374713535</v>
      </c>
      <c r="AS15" s="197" t="s">
        <v>133</v>
      </c>
      <c r="AT15" s="198"/>
      <c r="AU15" s="226">
        <f>SUM(AU3:AU6)/4</f>
        <v>0.13410452935983386</v>
      </c>
    </row>
    <row r="16" spans="1:47" ht="15" customHeight="1" thickBot="1">
      <c r="A16" s="195" t="s">
        <v>134</v>
      </c>
      <c r="B16" s="196"/>
      <c r="C16" s="199"/>
      <c r="D16" s="200"/>
      <c r="E16" s="227"/>
      <c r="F16" s="199"/>
      <c r="G16" s="200"/>
      <c r="H16" s="227"/>
      <c r="I16" s="199"/>
      <c r="J16" s="200"/>
      <c r="K16" s="228"/>
      <c r="M16" s="195" t="s">
        <v>134</v>
      </c>
      <c r="N16" s="196"/>
      <c r="O16" s="199"/>
      <c r="P16" s="200"/>
      <c r="Q16" s="227"/>
      <c r="R16" s="199"/>
      <c r="S16" s="200"/>
      <c r="T16" s="227"/>
      <c r="U16" s="199"/>
      <c r="V16" s="200"/>
      <c r="W16" s="228"/>
      <c r="Y16" s="195" t="s">
        <v>134</v>
      </c>
      <c r="Z16" s="196"/>
      <c r="AA16" s="199"/>
      <c r="AB16" s="200"/>
      <c r="AC16" s="227"/>
      <c r="AD16" s="199"/>
      <c r="AE16" s="200"/>
      <c r="AF16" s="227"/>
      <c r="AG16" s="199"/>
      <c r="AH16" s="200"/>
      <c r="AI16" s="228"/>
      <c r="AJ16" s="26"/>
      <c r="AK16" s="195" t="s">
        <v>134</v>
      </c>
      <c r="AL16" s="196"/>
      <c r="AM16" s="199"/>
      <c r="AN16" s="200"/>
      <c r="AO16" s="227"/>
      <c r="AP16" s="199"/>
      <c r="AQ16" s="200"/>
      <c r="AR16" s="227"/>
      <c r="AS16" s="199"/>
      <c r="AT16" s="200"/>
      <c r="AU16" s="228"/>
    </row>
    <row r="17" spans="1:47" s="56" customFormat="1" ht="33.6" customHeight="1" thickTop="1" thickBot="1">
      <c r="B17" s="57"/>
      <c r="C17" s="126" t="s">
        <v>135</v>
      </c>
      <c r="D17" s="58"/>
      <c r="E17" s="59"/>
      <c r="G17" s="58"/>
      <c r="H17" s="59"/>
      <c r="J17" s="58"/>
      <c r="K17" s="59"/>
      <c r="N17" s="57"/>
      <c r="O17" s="125" t="s">
        <v>136</v>
      </c>
      <c r="P17" s="58"/>
      <c r="Q17" s="59"/>
      <c r="S17" s="58"/>
      <c r="T17" s="59"/>
      <c r="V17" s="58"/>
      <c r="W17" s="59"/>
      <c r="Z17" s="57"/>
      <c r="AA17" s="125" t="s">
        <v>137</v>
      </c>
      <c r="AB17" s="58"/>
      <c r="AC17" s="59"/>
      <c r="AE17" s="58"/>
      <c r="AF17" s="59"/>
      <c r="AH17" s="58"/>
      <c r="AI17" s="59"/>
      <c r="AL17" s="57"/>
      <c r="AM17" s="125" t="s">
        <v>138</v>
      </c>
      <c r="AN17" s="58"/>
      <c r="AO17" s="59"/>
      <c r="AQ17" s="58"/>
      <c r="AR17" s="59"/>
      <c r="AT17" s="58"/>
      <c r="AU17" s="59"/>
    </row>
    <row r="18" spans="1:47" ht="42" thickTop="1" thickBot="1">
      <c r="A18" s="32" t="s">
        <v>99</v>
      </c>
      <c r="B18" s="114" t="s">
        <v>139</v>
      </c>
      <c r="C18" s="34" t="s">
        <v>101</v>
      </c>
      <c r="D18" s="34" t="s">
        <v>102</v>
      </c>
      <c r="E18" s="34" t="s">
        <v>103</v>
      </c>
      <c r="F18" s="35" t="s">
        <v>104</v>
      </c>
      <c r="G18" s="35" t="s">
        <v>102</v>
      </c>
      <c r="H18" s="36" t="s">
        <v>103</v>
      </c>
      <c r="I18" s="37" t="s">
        <v>105</v>
      </c>
      <c r="J18" s="37" t="s">
        <v>102</v>
      </c>
      <c r="K18" s="38" t="s">
        <v>103</v>
      </c>
      <c r="M18" s="32" t="s">
        <v>99</v>
      </c>
      <c r="N18" s="114" t="s">
        <v>139</v>
      </c>
      <c r="O18" s="34" t="s">
        <v>101</v>
      </c>
      <c r="P18" s="34" t="s">
        <v>102</v>
      </c>
      <c r="Q18" s="34" t="s">
        <v>103</v>
      </c>
      <c r="R18" s="35" t="s">
        <v>104</v>
      </c>
      <c r="S18" s="35" t="s">
        <v>102</v>
      </c>
      <c r="T18" s="36" t="s">
        <v>103</v>
      </c>
      <c r="U18" s="37" t="s">
        <v>105</v>
      </c>
      <c r="V18" s="37" t="s">
        <v>102</v>
      </c>
      <c r="W18" s="38" t="s">
        <v>103</v>
      </c>
      <c r="Y18" s="32" t="s">
        <v>99</v>
      </c>
      <c r="Z18" s="114" t="s">
        <v>139</v>
      </c>
      <c r="AA18" s="34" t="s">
        <v>101</v>
      </c>
      <c r="AB18" s="34" t="s">
        <v>102</v>
      </c>
      <c r="AC18" s="34" t="s">
        <v>103</v>
      </c>
      <c r="AD18" s="35" t="s">
        <v>104</v>
      </c>
      <c r="AE18" s="35" t="s">
        <v>102</v>
      </c>
      <c r="AF18" s="36" t="s">
        <v>103</v>
      </c>
      <c r="AG18" s="37" t="s">
        <v>105</v>
      </c>
      <c r="AH18" s="37" t="s">
        <v>102</v>
      </c>
      <c r="AI18" s="38" t="s">
        <v>103</v>
      </c>
      <c r="AJ18" s="26"/>
      <c r="AK18" s="32" t="s">
        <v>99</v>
      </c>
      <c r="AL18" s="114" t="s">
        <v>139</v>
      </c>
      <c r="AM18" s="34" t="s">
        <v>101</v>
      </c>
      <c r="AN18" s="34" t="s">
        <v>102</v>
      </c>
      <c r="AO18" s="34" t="s">
        <v>103</v>
      </c>
      <c r="AP18" s="35" t="s">
        <v>104</v>
      </c>
      <c r="AQ18" s="35" t="s">
        <v>102</v>
      </c>
      <c r="AR18" s="36" t="s">
        <v>103</v>
      </c>
      <c r="AS18" s="37" t="s">
        <v>105</v>
      </c>
      <c r="AT18" s="37" t="s">
        <v>102</v>
      </c>
      <c r="AU18" s="38" t="s">
        <v>103</v>
      </c>
    </row>
    <row r="19" spans="1:47" ht="14.25" thickBot="1">
      <c r="A19" s="39">
        <v>105</v>
      </c>
      <c r="B19" s="115">
        <v>0.2485</v>
      </c>
      <c r="C19" s="41" t="s">
        <v>107</v>
      </c>
      <c r="D19" s="6">
        <f>SUM(1+B21)*(1+B20)*(1+B19)-1</f>
        <v>0.37521748132999977</v>
      </c>
      <c r="E19" s="7">
        <f>(1+D19)^(1/3)-1</f>
        <v>0.1120486693633973</v>
      </c>
      <c r="F19" s="42" t="s">
        <v>108</v>
      </c>
      <c r="G19" s="8">
        <f>SUM(1+B23)*(1+B22)*(1+B21)*(1+B20)*(1+B19)-1</f>
        <v>0.72198375381726421</v>
      </c>
      <c r="H19" s="7">
        <f>(1+G19)^(1/5)-1</f>
        <v>0.1148227172575329</v>
      </c>
      <c r="I19" s="43" t="s">
        <v>109</v>
      </c>
      <c r="J19" s="121">
        <f>SUM(1+B28)*(1+B27)*(1+B26)*(1+B25)*(1+B24)*(1+B23)*(1+B22)*(1+B21)*(1+B20)*(1+B19)-1</f>
        <v>0.74104836621450265</v>
      </c>
      <c r="K19" s="10">
        <f>(1+J19)^(1/10)-1</f>
        <v>5.7014837448663647E-2</v>
      </c>
      <c r="M19" s="39">
        <v>105</v>
      </c>
      <c r="N19" s="113">
        <v>0.3301</v>
      </c>
      <c r="O19" s="41" t="s">
        <v>107</v>
      </c>
      <c r="P19" s="6">
        <f>SUM(1+N21)*(1+N20)*(1+N19)-1</f>
        <v>0.45153812999999987</v>
      </c>
      <c r="Q19" s="7">
        <f>(1+P19)^(1/3)-1</f>
        <v>0.13225126931012565</v>
      </c>
      <c r="R19" s="42" t="s">
        <v>108</v>
      </c>
      <c r="S19" s="8">
        <f>SUM(1+N23)*(1+N22)*(1+N21)*(1+N20)*(1+N19)-1</f>
        <v>0.84109360150053392</v>
      </c>
      <c r="T19" s="7">
        <f>(1+S19)^(1/5)-1</f>
        <v>0.12983538909032322</v>
      </c>
      <c r="U19" s="43" t="s">
        <v>109</v>
      </c>
      <c r="V19" s="121">
        <f>SUM(1+N28)*(1+N27)*(1+N26)*(1+N25)*(1+N24)*(1+N23)*(1+N22)*(1+N21)*(1+N20)*(1+N19)-1</f>
        <v>1.6412958502719079</v>
      </c>
      <c r="W19" s="10">
        <f>(1+V19)^(1/10)-1</f>
        <v>0.10200028010618611</v>
      </c>
      <c r="Y19" s="39">
        <v>105</v>
      </c>
      <c r="Z19" s="113">
        <v>0.27200000000000002</v>
      </c>
      <c r="AA19" s="41" t="s">
        <v>107</v>
      </c>
      <c r="AB19" s="6">
        <f>SUM(1+Z21)*(1+Z20)*(1+Z19)-1</f>
        <v>0.33470959999999983</v>
      </c>
      <c r="AC19" s="7">
        <f>(1+AB19)^(1/3)-1</f>
        <v>0.10102098044413399</v>
      </c>
      <c r="AD19" s="42" t="s">
        <v>108</v>
      </c>
      <c r="AE19" s="8">
        <f>SUM(1+Z23)*(1+Z22)*(1+Z21)*(1+Z20)*(1+Z19)-1</f>
        <v>0.6712616574951924</v>
      </c>
      <c r="AF19" s="7">
        <f>(1+AE19)^(1/5)-1</f>
        <v>0.10817638173234023</v>
      </c>
      <c r="AG19" s="43" t="s">
        <v>109</v>
      </c>
      <c r="AH19" s="108">
        <f>SUM(1+Z28)*(1+Z27)*(1+Z26)*(1+Z25)*(1+Z24)*(1+Z23)*(1+Z22)*(1+Z21)*(1+Z20)*(1+Z19)-1</f>
        <v>1.0901274765156876</v>
      </c>
      <c r="AI19" s="10">
        <f>(1+AH19)^(1/10)-1</f>
        <v>7.650803927195593E-2</v>
      </c>
      <c r="AJ19" s="26"/>
      <c r="AK19" s="39">
        <v>105</v>
      </c>
      <c r="AL19" s="113">
        <v>0.2485</v>
      </c>
      <c r="AM19" s="41" t="s">
        <v>107</v>
      </c>
      <c r="AN19" s="6">
        <f>SUM(1+AL21)*(1+AL20)*(1+AL19)-1</f>
        <v>0.51357677570000004</v>
      </c>
      <c r="AO19" s="7">
        <f>(1+AN19)^(1/3)-1</f>
        <v>0.14815754769482825</v>
      </c>
      <c r="AP19" s="42" t="s">
        <v>108</v>
      </c>
      <c r="AQ19" s="8">
        <f>SUM(1+AL23)*(1+AL22)*(1+AL21)*(1+AL20)*(1+AL19)-1</f>
        <v>0.89523086587719969</v>
      </c>
      <c r="AR19" s="7">
        <f>(1+AQ19)^(1/5)-1</f>
        <v>0.13640313762366629</v>
      </c>
      <c r="AS19" s="43" t="s">
        <v>109</v>
      </c>
      <c r="AT19" s="108">
        <f>SUM(1+AL28)*(1+AL27)*(1+AL26)*(1+AL25)*(1+AL24)*(1+AL23)*(1+AL22)*(1+AL21)*(1+AL20)*(1+AL19)-1</f>
        <v>1.1991213929975486</v>
      </c>
      <c r="AU19" s="10">
        <f>(1+AT19)^(1/10)-1</f>
        <v>8.199416906728052E-2</v>
      </c>
    </row>
    <row r="20" spans="1:47" ht="14.25" thickBot="1">
      <c r="A20" s="39">
        <v>104</v>
      </c>
      <c r="B20" s="110">
        <v>-5.7099999999999998E-2</v>
      </c>
      <c r="C20" s="41" t="s">
        <v>110</v>
      </c>
      <c r="D20" s="6">
        <f t="shared" ref="D20:D29" si="16">SUM(1+B22)*(1+B21)*(1+B20)-1</f>
        <v>0.21594119154199998</v>
      </c>
      <c r="E20" s="7">
        <f t="shared" ref="E20:E29" si="17">(1+D20)^(1/3)-1</f>
        <v>6.734345256815355E-2</v>
      </c>
      <c r="F20" s="42" t="s">
        <v>111</v>
      </c>
      <c r="G20" s="8">
        <f t="shared" ref="G20:G27" si="18">SUM(1+B24)*(1+B23)*(1+B22)*(1+B21)*(1+B20)-1</f>
        <v>0.16173561541071835</v>
      </c>
      <c r="H20" s="118">
        <f t="shared" ref="H20:H27" si="19">(1+G20)^(1/5)-1</f>
        <v>3.043703844272061E-2</v>
      </c>
      <c r="I20" s="43" t="s">
        <v>112</v>
      </c>
      <c r="J20" s="121">
        <f>SUM(1+B29)*(1+B28)*(1+B27)*(1+B26)*(1+B25)*(1+B24)*(1+B23)*(1+B22)*(1+B21)*(1+B20)-1</f>
        <v>0.70353599052273674</v>
      </c>
      <c r="K20" s="10">
        <f>(1+J20)^(1/10)-1</f>
        <v>5.4715021385845608E-2</v>
      </c>
      <c r="M20" s="39">
        <v>104</v>
      </c>
      <c r="N20" s="113">
        <v>9.1300000000000006E-2</v>
      </c>
      <c r="O20" s="41" t="s">
        <v>110</v>
      </c>
      <c r="P20" s="6">
        <f t="shared" ref="P20:P29" si="20">SUM(1+N22)*(1+N21)*(1+N20)-1</f>
        <v>0.22029166</v>
      </c>
      <c r="Q20" s="7">
        <f t="shared" ref="Q20:Q29" si="21">(1+P20)^(1/3)-1</f>
        <v>6.8614872922011072E-2</v>
      </c>
      <c r="R20" s="42" t="s">
        <v>111</v>
      </c>
      <c r="S20" s="8">
        <f t="shared" ref="S20:S27" si="22">SUM(1+N24)*(1+N23)*(1+N22)*(1+N21)*(1+N20)-1</f>
        <v>0.3391910829650151</v>
      </c>
      <c r="T20" s="7">
        <f t="shared" ref="T20:T27" si="23">(1+S20)^(1/5)-1</f>
        <v>6.0152910013940186E-2</v>
      </c>
      <c r="U20" s="43" t="s">
        <v>112</v>
      </c>
      <c r="V20" s="121">
        <f>SUM(1+N29)*(1+N28)*(1+N27)*(1+N26)*(1+N25)*(1+N24)*(1+N23)*(1+N22)*(1+N21)*(1+N20)-1</f>
        <v>1.4258379149629068</v>
      </c>
      <c r="W20" s="10">
        <f>(1+V20)^(1/10)-1</f>
        <v>9.2662851093918031E-2</v>
      </c>
      <c r="Y20" s="39">
        <v>104</v>
      </c>
      <c r="Z20" s="120">
        <v>4.9299999999999997E-2</v>
      </c>
      <c r="AA20" s="41" t="s">
        <v>110</v>
      </c>
      <c r="AB20" s="6">
        <f t="shared" ref="AB20:AB29" si="24">SUM(1+Z22)*(1+Z21)*(1+Z20)-1</f>
        <v>0.15832226999999999</v>
      </c>
      <c r="AC20" s="7">
        <f t="shared" ref="AC20:AC29" si="25">(1+AB20)^(1/3)-1</f>
        <v>5.0210772502414569E-2</v>
      </c>
      <c r="AD20" s="42" t="s">
        <v>111</v>
      </c>
      <c r="AE20" s="8">
        <f t="shared" ref="AE20:AE27" si="26">SUM(1+Z24)*(1+Z23)*(1+Z22)*(1+Z21)*(1+Z20)-1</f>
        <v>0.24897903428846657</v>
      </c>
      <c r="AF20" s="109">
        <f t="shared" ref="AF20:AF27" si="27">(1+AE20)^(1/5)-1</f>
        <v>4.5468686817988768E-2</v>
      </c>
      <c r="AG20" s="43" t="s">
        <v>112</v>
      </c>
      <c r="AH20" s="108">
        <f>SUM(1+Z29)*(1+Z28)*(1+Z27)*(1+Z26)*(1+Z25)*(1+Z24)*(1+Z23)*(1+Z22)*(1+Z21)*(1+Z20)-1</f>
        <v>1.0073111048046881</v>
      </c>
      <c r="AI20" s="10">
        <f>(1+AH20)^(1/10)-1</f>
        <v>7.2164611932103773E-2</v>
      </c>
      <c r="AJ20" s="26"/>
      <c r="AK20" s="39">
        <v>104</v>
      </c>
      <c r="AL20" s="112">
        <v>-1.0999999999999999E-2</v>
      </c>
      <c r="AM20" s="41" t="s">
        <v>110</v>
      </c>
      <c r="AN20" s="6">
        <f t="shared" ref="AN20:AN29" si="28">SUM(1+AL22)*(1+AL21)*(1+AL20)-1</f>
        <v>0.33827585318000009</v>
      </c>
      <c r="AO20" s="7">
        <f t="shared" ref="AO20:AO29" si="29">(1+AN20)^(1/3)-1</f>
        <v>0.10200072605663824</v>
      </c>
      <c r="AP20" s="42" t="s">
        <v>111</v>
      </c>
      <c r="AQ20" s="8">
        <f t="shared" ref="AQ20:AQ27" si="30">SUM(1+AL24)*(1+AL23)*(1+AL22)*(1+AL21)*(1+AL20)-1</f>
        <v>0.44301678902912767</v>
      </c>
      <c r="AR20" s="7">
        <f t="shared" ref="AR20:AR27" si="31">(1+AQ20)^(1/5)-1</f>
        <v>7.6104077008815718E-2</v>
      </c>
      <c r="AS20" s="43" t="s">
        <v>112</v>
      </c>
      <c r="AT20" s="108">
        <f>SUM(1+AL29)*(1+AL28)*(1+AL27)*(1+AL26)*(1+AL25)*(1+AL24)*(1+AL23)*(1+AL22)*(1+AL21)*(1+AL20)-1</f>
        <v>1.1517394422793803</v>
      </c>
      <c r="AU20" s="10">
        <f>(1+AT20)^(1/10)-1</f>
        <v>7.9640003844867469E-2</v>
      </c>
    </row>
    <row r="21" spans="1:47" ht="14.25" thickBot="1">
      <c r="A21" s="44">
        <v>103</v>
      </c>
      <c r="B21" s="115">
        <v>0.16819999999999999</v>
      </c>
      <c r="C21" s="41" t="s">
        <v>113</v>
      </c>
      <c r="D21" s="6">
        <f t="shared" si="16"/>
        <v>0.4627660341140003</v>
      </c>
      <c r="E21" s="7">
        <f t="shared" si="17"/>
        <v>0.13516316209311108</v>
      </c>
      <c r="F21" s="42" t="s">
        <v>114</v>
      </c>
      <c r="G21" s="8">
        <f t="shared" si="18"/>
        <v>0.38696127083237397</v>
      </c>
      <c r="H21" s="7">
        <f t="shared" si="19"/>
        <v>6.7610574678571789E-2</v>
      </c>
      <c r="I21" s="43" t="s">
        <v>115</v>
      </c>
      <c r="J21" s="121">
        <f>SUM(1+B30)*(1+B29)*(1+B28)*(1+B27)*(1+B26)*(1+B25)*(1+B24)*(1+B23)*(1+B22)*(1+B21)-1</f>
        <v>0.98628430160218072</v>
      </c>
      <c r="K21" s="10">
        <f>(1+J21)^(1/10)-1</f>
        <v>7.1036178304810127E-2</v>
      </c>
      <c r="M21" s="44">
        <v>103</v>
      </c>
      <c r="N21" s="119">
        <v>0</v>
      </c>
      <c r="O21" s="41" t="s">
        <v>113</v>
      </c>
      <c r="P21" s="6">
        <f t="shared" si="20"/>
        <v>0.26837426000000009</v>
      </c>
      <c r="Q21" s="7">
        <f t="shared" si="21"/>
        <v>8.2469844679793791E-2</v>
      </c>
      <c r="R21" s="42" t="s">
        <v>114</v>
      </c>
      <c r="S21" s="8">
        <f t="shared" si="22"/>
        <v>0.47393238316620523</v>
      </c>
      <c r="T21" s="7">
        <f t="shared" si="23"/>
        <v>8.0676013710049288E-2</v>
      </c>
      <c r="U21" s="43" t="s">
        <v>115</v>
      </c>
      <c r="V21" s="121">
        <f>SUM(1+N30)*(1+N29)*(1+N28)*(1+N27)*(1+N26)*(1+N25)*(1+N24)*(1+N23)*(1+N22)*(1+N21)-1</f>
        <v>1.4438433095484458</v>
      </c>
      <c r="W21" s="10">
        <f>(1+V21)^(1/10)-1</f>
        <v>9.3471166492229196E-2</v>
      </c>
      <c r="Y21" s="44">
        <v>103</v>
      </c>
      <c r="Z21" s="120">
        <v>0</v>
      </c>
      <c r="AA21" s="41" t="s">
        <v>113</v>
      </c>
      <c r="AB21" s="6">
        <f t="shared" si="24"/>
        <v>0.25215377000000028</v>
      </c>
      <c r="AC21" s="7">
        <f t="shared" si="25"/>
        <v>7.7835677593141028E-2</v>
      </c>
      <c r="AD21" s="42" t="s">
        <v>114</v>
      </c>
      <c r="AE21" s="8">
        <f t="shared" si="26"/>
        <v>0.39157665966515465</v>
      </c>
      <c r="AF21" s="7">
        <f t="shared" si="27"/>
        <v>6.8320167986138935E-2</v>
      </c>
      <c r="AG21" s="43" t="s">
        <v>115</v>
      </c>
      <c r="AH21" s="108">
        <f>SUM(1+Z30)*(1+Z29)*(1+Z28)*(1+Z27)*(1+Z26)*(1+Z25)*(1+Z24)*(1+Z23)*(1+Z22)*(1+Z21)-1</f>
        <v>1.1031524145833171</v>
      </c>
      <c r="AI21" s="10">
        <f>(1+AH21)^(1/10)-1</f>
        <v>7.7177007344479964E-2</v>
      </c>
      <c r="AJ21" s="26"/>
      <c r="AK21" s="44">
        <v>103</v>
      </c>
      <c r="AL21" s="113">
        <v>0.2258</v>
      </c>
      <c r="AM21" s="41" t="s">
        <v>113</v>
      </c>
      <c r="AN21" s="6">
        <f t="shared" si="28"/>
        <v>0.5348900912660004</v>
      </c>
      <c r="AO21" s="7">
        <f t="shared" si="29"/>
        <v>0.15352167862112043</v>
      </c>
      <c r="AP21" s="42" t="s">
        <v>114</v>
      </c>
      <c r="AQ21" s="8">
        <f t="shared" si="30"/>
        <v>0.64247118241667245</v>
      </c>
      <c r="AR21" s="7">
        <f t="shared" si="31"/>
        <v>0.10433173271876717</v>
      </c>
      <c r="AS21" s="43" t="s">
        <v>115</v>
      </c>
      <c r="AT21" s="108">
        <f>SUM(1+AL30)*(1+AL29)*(1+AL28)*(1+AL27)*(1+AL26)*(1+AL25)*(1+AL24)*(1+AL23)*(1+AL22)*(1+AL21)-1</f>
        <v>1.3919336125803334</v>
      </c>
      <c r="AU21" s="10">
        <f>(1+AT21)^(1/10)-1</f>
        <v>9.1126019223773724E-2</v>
      </c>
    </row>
    <row r="22" spans="1:47" ht="14.25" thickBot="1">
      <c r="A22" s="44">
        <v>102</v>
      </c>
      <c r="B22" s="115">
        <v>0.10390000000000001</v>
      </c>
      <c r="C22" s="41" t="s">
        <v>116</v>
      </c>
      <c r="D22" s="6">
        <f t="shared" si="16"/>
        <v>5.4689120471000274E-2</v>
      </c>
      <c r="E22" s="118">
        <f t="shared" si="17"/>
        <v>1.790712754253021E-2</v>
      </c>
      <c r="F22" s="42" t="s">
        <v>117</v>
      </c>
      <c r="G22" s="8">
        <f t="shared" si="18"/>
        <v>0.99436529938728135</v>
      </c>
      <c r="H22" s="7">
        <f t="shared" si="19"/>
        <v>0.14805036720907383</v>
      </c>
      <c r="I22" s="43" t="s">
        <v>118</v>
      </c>
      <c r="J22" s="121">
        <f>SUM(1+B31)*(1+B30)*(1+B29)*(1+B28)*(1+B27)*(1+B26)*(1+B25)*(1+B24)*(1+B23)*(1+B22)-1</f>
        <v>0.7434822144006823</v>
      </c>
      <c r="K22" s="10">
        <f>(1+J22)^(1/10)-1</f>
        <v>5.7162506909562261E-2</v>
      </c>
      <c r="M22" s="44">
        <v>102</v>
      </c>
      <c r="N22" s="113">
        <v>0.1182</v>
      </c>
      <c r="O22" s="41" t="s">
        <v>116</v>
      </c>
      <c r="P22" s="6">
        <f t="shared" si="20"/>
        <v>0.22715209655000024</v>
      </c>
      <c r="Q22" s="7">
        <f t="shared" si="21"/>
        <v>7.0613703476367196E-2</v>
      </c>
      <c r="R22" s="42" t="s">
        <v>117</v>
      </c>
      <c r="S22" s="8">
        <f t="shared" si="22"/>
        <v>1.4759116172425917</v>
      </c>
      <c r="T22" s="7">
        <f t="shared" si="23"/>
        <v>0.19880080945422729</v>
      </c>
      <c r="U22" s="43" t="s">
        <v>118</v>
      </c>
      <c r="V22" s="121">
        <f>SUM(1+N31)*(1+N30)*(1+N29)*(1+N28)*(1+N27)*(1+N26)*(1+N25)*(1+N24)*(1+N23)*(1+N22)-1</f>
        <v>1.5059169296109776</v>
      </c>
      <c r="W22" s="10">
        <f>(1+V22)^(1/10)-1</f>
        <v>9.6217338845070444E-2</v>
      </c>
      <c r="Y22" s="44">
        <v>102</v>
      </c>
      <c r="Z22" s="113">
        <v>0.10390000000000001</v>
      </c>
      <c r="AA22" s="41" t="s">
        <v>116</v>
      </c>
      <c r="AB22" s="6">
        <f t="shared" si="24"/>
        <v>0.19029737376200018</v>
      </c>
      <c r="AC22" s="7">
        <f t="shared" si="25"/>
        <v>5.9786765509802331E-2</v>
      </c>
      <c r="AD22" s="42" t="s">
        <v>117</v>
      </c>
      <c r="AE22" s="8">
        <f t="shared" si="26"/>
        <v>1.3375704729055267</v>
      </c>
      <c r="AF22" s="7">
        <f t="shared" si="27"/>
        <v>0.18509439081681944</v>
      </c>
      <c r="AG22" s="43" t="s">
        <v>118</v>
      </c>
      <c r="AH22" s="108">
        <f>SUM(1+Z31)*(1+Z30)*(1+Z29)*(1+Z28)*(1+Z27)*(1+Z26)*(1+Z25)*(1+Z24)*(1+Z23)*(1+Z22)-1</f>
        <v>1.1565724859137334</v>
      </c>
      <c r="AI22" s="10">
        <f>(1+AH22)^(1/10)-1</f>
        <v>7.9882258115906213E-2</v>
      </c>
      <c r="AJ22" s="26"/>
      <c r="AK22" s="44">
        <v>102</v>
      </c>
      <c r="AL22" s="113">
        <v>0.10390000000000001</v>
      </c>
      <c r="AM22" s="41" t="s">
        <v>116</v>
      </c>
      <c r="AN22" s="6">
        <f t="shared" si="28"/>
        <v>0.19029737376200018</v>
      </c>
      <c r="AO22" s="7">
        <f t="shared" si="29"/>
        <v>5.9786765509802331E-2</v>
      </c>
      <c r="AP22" s="42" t="s">
        <v>117</v>
      </c>
      <c r="AQ22" s="8">
        <f t="shared" si="30"/>
        <v>1.2507938425709955</v>
      </c>
      <c r="AR22" s="7">
        <f t="shared" si="31"/>
        <v>0.17616199940139143</v>
      </c>
      <c r="AS22" s="43" t="s">
        <v>118</v>
      </c>
      <c r="AT22" s="108">
        <f>SUM(1+AL31)*(1+AL30)*(1+AL29)*(1+AL28)*(1+AL27)*(1+AL26)*(1+AL25)*(1+AL24)*(1+AL23)*(1+AL22)-1</f>
        <v>1.0008881761624036</v>
      </c>
      <c r="AU22" s="10">
        <f>(1+AT22)^(1/10)-1</f>
        <v>7.1821049209409793E-2</v>
      </c>
    </row>
    <row r="23" spans="1:47" ht="14.25" thickBot="1">
      <c r="A23" s="44">
        <v>101</v>
      </c>
      <c r="B23" s="116">
        <v>0.1343</v>
      </c>
      <c r="C23" s="41" t="s">
        <v>119</v>
      </c>
      <c r="D23" s="6">
        <f t="shared" si="16"/>
        <v>7.5517295873000156E-2</v>
      </c>
      <c r="E23" s="118">
        <f t="shared" si="17"/>
        <v>2.4564096504260169E-2</v>
      </c>
      <c r="F23" s="42" t="s">
        <v>120</v>
      </c>
      <c r="G23" s="8">
        <f t="shared" si="18"/>
        <v>4.8220623883051594E-2</v>
      </c>
      <c r="H23" s="118">
        <f t="shared" si="19"/>
        <v>9.4633131877694954E-3</v>
      </c>
      <c r="I23" s="45"/>
      <c r="J23" s="11"/>
      <c r="K23" s="12"/>
      <c r="M23" s="44">
        <v>101</v>
      </c>
      <c r="N23" s="113">
        <v>0.1343</v>
      </c>
      <c r="O23" s="41" t="s">
        <v>119</v>
      </c>
      <c r="P23" s="6">
        <f t="shared" si="20"/>
        <v>0.3181294787750002</v>
      </c>
      <c r="Q23" s="7">
        <f t="shared" si="21"/>
        <v>9.6442911649183616E-2</v>
      </c>
      <c r="R23" s="42" t="s">
        <v>120</v>
      </c>
      <c r="S23" s="8">
        <f t="shared" si="22"/>
        <v>0.43767609826114673</v>
      </c>
      <c r="T23" s="7">
        <f t="shared" si="23"/>
        <v>7.5306350149768164E-2</v>
      </c>
      <c r="U23" s="207" t="s">
        <v>140</v>
      </c>
      <c r="V23" s="208"/>
      <c r="W23" s="209"/>
      <c r="Y23" s="44">
        <v>101</v>
      </c>
      <c r="Z23" s="113">
        <v>0.1343</v>
      </c>
      <c r="AA23" s="41" t="s">
        <v>119</v>
      </c>
      <c r="AB23" s="6">
        <f t="shared" si="24"/>
        <v>0.26060028957800019</v>
      </c>
      <c r="AC23" s="7">
        <f t="shared" si="25"/>
        <v>8.0253795400786254E-2</v>
      </c>
      <c r="AD23" s="42" t="s">
        <v>120</v>
      </c>
      <c r="AE23" s="8">
        <f t="shared" si="26"/>
        <v>0.29657976316700241</v>
      </c>
      <c r="AF23" s="7">
        <f t="shared" si="27"/>
        <v>5.331882932156784E-2</v>
      </c>
      <c r="AG23" s="207" t="s">
        <v>141</v>
      </c>
      <c r="AH23" s="208"/>
      <c r="AI23" s="209"/>
      <c r="AJ23" s="26"/>
      <c r="AK23" s="44">
        <v>101</v>
      </c>
      <c r="AL23" s="113">
        <v>0.1343</v>
      </c>
      <c r="AM23" s="41" t="s">
        <v>119</v>
      </c>
      <c r="AN23" s="6">
        <f t="shared" si="28"/>
        <v>0.21380356340600004</v>
      </c>
      <c r="AO23" s="7">
        <f t="shared" si="29"/>
        <v>6.6717621393563631E-2</v>
      </c>
      <c r="AP23" s="42" t="s">
        <v>120</v>
      </c>
      <c r="AQ23" s="8">
        <f t="shared" si="30"/>
        <v>0.20297886322754533</v>
      </c>
      <c r="AR23" s="118">
        <f t="shared" si="31"/>
        <v>3.7651693831899813E-2</v>
      </c>
      <c r="AS23" s="207" t="s">
        <v>142</v>
      </c>
      <c r="AT23" s="208"/>
      <c r="AU23" s="209"/>
    </row>
    <row r="24" spans="1:47" ht="15" customHeight="1" thickBot="1">
      <c r="A24" s="44">
        <v>100</v>
      </c>
      <c r="B24" s="110">
        <v>-0.15770000000000001</v>
      </c>
      <c r="C24" s="41" t="s">
        <v>121</v>
      </c>
      <c r="D24" s="6">
        <f t="shared" si="16"/>
        <v>0.59274790937799993</v>
      </c>
      <c r="E24" s="7">
        <f t="shared" si="17"/>
        <v>0.16783731524155443</v>
      </c>
      <c r="F24" s="42" t="s">
        <v>122</v>
      </c>
      <c r="G24" s="8">
        <f t="shared" si="18"/>
        <v>1.1071307934802821E-2</v>
      </c>
      <c r="H24" s="118">
        <f t="shared" si="19"/>
        <v>2.2045203161429328E-3</v>
      </c>
      <c r="I24" s="46"/>
      <c r="J24" s="13"/>
      <c r="K24" s="14"/>
      <c r="M24" s="44">
        <v>100</v>
      </c>
      <c r="N24" s="112">
        <v>-3.2500000000000001E-2</v>
      </c>
      <c r="O24" s="41" t="s">
        <v>121</v>
      </c>
      <c r="P24" s="6">
        <f t="shared" si="20"/>
        <v>0.95203552715000006</v>
      </c>
      <c r="Q24" s="7">
        <f t="shared" si="21"/>
        <v>0.2497675358963658</v>
      </c>
      <c r="R24" s="42" t="s">
        <v>122</v>
      </c>
      <c r="S24" s="8">
        <f t="shared" si="22"/>
        <v>0.43463420225847837</v>
      </c>
      <c r="T24" s="7">
        <f t="shared" si="23"/>
        <v>7.4850928799353511E-2</v>
      </c>
      <c r="U24" s="210"/>
      <c r="V24" s="211"/>
      <c r="W24" s="212"/>
      <c r="Y24" s="44">
        <v>100</v>
      </c>
      <c r="Z24" s="112">
        <v>-4.9399999999999999E-2</v>
      </c>
      <c r="AA24" s="41" t="s">
        <v>121</v>
      </c>
      <c r="AB24" s="6">
        <f t="shared" si="24"/>
        <v>0.86683978350799995</v>
      </c>
      <c r="AC24" s="7">
        <f t="shared" si="25"/>
        <v>0.2313145624609616</v>
      </c>
      <c r="AD24" s="42" t="s">
        <v>122</v>
      </c>
      <c r="AE24" s="8">
        <f t="shared" si="26"/>
        <v>0.25062850998943609</v>
      </c>
      <c r="AF24" s="109">
        <f t="shared" si="27"/>
        <v>4.5744682633973133E-2</v>
      </c>
      <c r="AG24" s="210"/>
      <c r="AH24" s="211"/>
      <c r="AI24" s="212"/>
      <c r="AJ24" s="26"/>
      <c r="AK24" s="44">
        <v>100</v>
      </c>
      <c r="AL24" s="112">
        <v>-4.9399999999999999E-2</v>
      </c>
      <c r="AM24" s="41" t="s">
        <v>121</v>
      </c>
      <c r="AN24" s="6">
        <f t="shared" si="28"/>
        <v>0.79753788751599974</v>
      </c>
      <c r="AO24" s="7">
        <f t="shared" si="29"/>
        <v>0.21588551398544609</v>
      </c>
      <c r="AP24" s="42" t="s">
        <v>122</v>
      </c>
      <c r="AQ24" s="8">
        <f t="shared" si="30"/>
        <v>0.16034485961144096</v>
      </c>
      <c r="AR24" s="118">
        <f t="shared" si="31"/>
        <v>3.0190205514277979E-2</v>
      </c>
      <c r="AS24" s="210"/>
      <c r="AT24" s="211"/>
      <c r="AU24" s="212"/>
    </row>
    <row r="25" spans="1:47" ht="14.25" thickBot="1">
      <c r="A25" s="44">
        <v>99</v>
      </c>
      <c r="B25" s="115">
        <v>0.12570000000000001</v>
      </c>
      <c r="C25" s="41" t="s">
        <v>123</v>
      </c>
      <c r="D25" s="6">
        <f t="shared" si="16"/>
        <v>9.7129688971999917E-2</v>
      </c>
      <c r="E25" s="118">
        <f t="shared" si="17"/>
        <v>3.1381465182785062E-2</v>
      </c>
      <c r="F25" s="42" t="s">
        <v>124</v>
      </c>
      <c r="G25" s="8">
        <f t="shared" si="18"/>
        <v>0.46637149444753057</v>
      </c>
      <c r="H25" s="7">
        <f t="shared" si="19"/>
        <v>7.9565014489511476E-2</v>
      </c>
      <c r="I25" s="46"/>
      <c r="J25" s="13"/>
      <c r="K25" s="14"/>
      <c r="M25" s="44">
        <v>99</v>
      </c>
      <c r="N25" s="113">
        <v>0.2011</v>
      </c>
      <c r="O25" s="41" t="s">
        <v>123</v>
      </c>
      <c r="P25" s="6">
        <f t="shared" si="20"/>
        <v>0.31003273155399991</v>
      </c>
      <c r="Q25" s="7">
        <f t="shared" si="21"/>
        <v>9.4193294353437818E-2</v>
      </c>
      <c r="R25" s="42" t="s">
        <v>124</v>
      </c>
      <c r="S25" s="8">
        <f t="shared" si="22"/>
        <v>0.8114203012702399</v>
      </c>
      <c r="T25" s="7">
        <f t="shared" si="23"/>
        <v>0.12616972031420493</v>
      </c>
      <c r="U25" s="210"/>
      <c r="V25" s="211"/>
      <c r="W25" s="212"/>
      <c r="Y25" s="44">
        <v>99</v>
      </c>
      <c r="Z25" s="113">
        <v>0.1691</v>
      </c>
      <c r="AA25" s="41" t="s">
        <v>123</v>
      </c>
      <c r="AB25" s="6">
        <f t="shared" si="24"/>
        <v>0.20246791441400003</v>
      </c>
      <c r="AC25" s="7">
        <f t="shared" si="25"/>
        <v>6.3386556574198671E-2</v>
      </c>
      <c r="AD25" s="42" t="s">
        <v>124</v>
      </c>
      <c r="AE25" s="8">
        <f t="shared" si="26"/>
        <v>0.60716156932789289</v>
      </c>
      <c r="AF25" s="7">
        <f t="shared" si="27"/>
        <v>9.9542214485901281E-2</v>
      </c>
      <c r="AG25" s="210"/>
      <c r="AH25" s="211"/>
      <c r="AI25" s="212"/>
      <c r="AJ25" s="26"/>
      <c r="AK25" s="44">
        <v>99</v>
      </c>
      <c r="AL25" s="113">
        <v>0.12570000000000001</v>
      </c>
      <c r="AM25" s="41" t="s">
        <v>123</v>
      </c>
      <c r="AN25" s="6">
        <f t="shared" si="28"/>
        <v>0.11566100739999996</v>
      </c>
      <c r="AO25" s="118">
        <f t="shared" si="29"/>
        <v>3.7156001857689303E-2</v>
      </c>
      <c r="AP25" s="42" t="s">
        <v>124</v>
      </c>
      <c r="AQ25" s="8">
        <f t="shared" si="30"/>
        <v>0.49113957553264931</v>
      </c>
      <c r="AR25" s="7">
        <f t="shared" si="31"/>
        <v>8.3187549239808645E-2</v>
      </c>
      <c r="AS25" s="210"/>
      <c r="AT25" s="211"/>
      <c r="AU25" s="212"/>
    </row>
    <row r="26" spans="1:47" ht="14.25" thickBot="1">
      <c r="A26" s="44">
        <v>98</v>
      </c>
      <c r="B26" s="115">
        <v>0.67979999999999996</v>
      </c>
      <c r="C26" s="41" t="s">
        <v>125</v>
      </c>
      <c r="D26" s="6">
        <f t="shared" si="16"/>
        <v>6.6331698236000269E-2</v>
      </c>
      <c r="E26" s="118">
        <f t="shared" si="17"/>
        <v>2.1638944715442143E-2</v>
      </c>
      <c r="F26" s="42" t="s">
        <v>126</v>
      </c>
      <c r="G26" s="8">
        <f t="shared" si="18"/>
        <v>0.43211230434006831</v>
      </c>
      <c r="H26" s="7">
        <f t="shared" si="19"/>
        <v>7.4472773542112014E-2</v>
      </c>
      <c r="I26" s="47"/>
      <c r="J26" s="13"/>
      <c r="K26" s="14"/>
      <c r="M26" s="44">
        <v>98</v>
      </c>
      <c r="N26" s="113">
        <v>0.67979999999999996</v>
      </c>
      <c r="O26" s="41" t="s">
        <v>125</v>
      </c>
      <c r="P26" s="6">
        <f t="shared" si="20"/>
        <v>0.2345566970659998</v>
      </c>
      <c r="Q26" s="7">
        <f t="shared" si="21"/>
        <v>7.2762737633581986E-2</v>
      </c>
      <c r="R26" s="42" t="s">
        <v>126</v>
      </c>
      <c r="S26" s="8">
        <f t="shared" si="22"/>
        <v>0.65804302657272618</v>
      </c>
      <c r="T26" s="7">
        <f t="shared" si="23"/>
        <v>0.10641781327690625</v>
      </c>
      <c r="U26" s="210"/>
      <c r="V26" s="211"/>
      <c r="W26" s="212"/>
      <c r="Y26" s="44">
        <v>98</v>
      </c>
      <c r="Z26" s="113">
        <v>0.67979999999999996</v>
      </c>
      <c r="AA26" s="41" t="s">
        <v>125</v>
      </c>
      <c r="AB26" s="6">
        <f t="shared" si="24"/>
        <v>0.12532729891400018</v>
      </c>
      <c r="AC26" s="109">
        <f t="shared" si="25"/>
        <v>4.0142762365039664E-2</v>
      </c>
      <c r="AD26" s="42" t="s">
        <v>126</v>
      </c>
      <c r="AE26" s="8">
        <f t="shared" si="26"/>
        <v>0.511344991291665</v>
      </c>
      <c r="AF26" s="7">
        <f t="shared" si="27"/>
        <v>8.6107273757528358E-2</v>
      </c>
      <c r="AG26" s="210"/>
      <c r="AH26" s="211"/>
      <c r="AI26" s="212"/>
      <c r="AJ26" s="26"/>
      <c r="AK26" s="44">
        <v>98</v>
      </c>
      <c r="AL26" s="113">
        <v>0.67979999999999996</v>
      </c>
      <c r="AM26" s="41" t="s">
        <v>125</v>
      </c>
      <c r="AN26" s="6">
        <f t="shared" si="28"/>
        <v>8.434281620000017E-2</v>
      </c>
      <c r="AO26" s="118">
        <f t="shared" si="29"/>
        <v>2.7358934606596774E-2</v>
      </c>
      <c r="AP26" s="42" t="s">
        <v>126</v>
      </c>
      <c r="AQ26" s="8">
        <f t="shared" si="30"/>
        <v>0.45630172278635017</v>
      </c>
      <c r="AR26" s="7">
        <f t="shared" si="31"/>
        <v>7.8078221021572247E-2</v>
      </c>
      <c r="AS26" s="210"/>
      <c r="AT26" s="211"/>
      <c r="AU26" s="212"/>
    </row>
    <row r="27" spans="1:47" ht="14.25" thickBot="1">
      <c r="A27" s="44">
        <v>97</v>
      </c>
      <c r="B27" s="110">
        <v>-0.41980000000000001</v>
      </c>
      <c r="C27" s="103" t="s">
        <v>127</v>
      </c>
      <c r="D27" s="106">
        <f t="shared" si="16"/>
        <v>-0.22453220468799984</v>
      </c>
      <c r="E27" s="111">
        <f t="shared" si="17"/>
        <v>-8.1269948757341059E-2</v>
      </c>
      <c r="F27" s="104" t="s">
        <v>128</v>
      </c>
      <c r="G27" s="107">
        <f t="shared" si="18"/>
        <v>-0.12579595376217023</v>
      </c>
      <c r="H27" s="111">
        <f t="shared" si="19"/>
        <v>-2.6530021733982667E-2</v>
      </c>
      <c r="I27" s="47"/>
      <c r="J27" s="13"/>
      <c r="K27" s="14"/>
      <c r="M27" s="44">
        <v>97</v>
      </c>
      <c r="N27" s="112">
        <v>-0.35070000000000001</v>
      </c>
      <c r="O27" s="103" t="s">
        <v>127</v>
      </c>
      <c r="P27" s="106">
        <f t="shared" si="20"/>
        <v>-0.10219403432800012</v>
      </c>
      <c r="Q27" s="111">
        <f t="shared" si="21"/>
        <v>-3.5295815595763003E-2</v>
      </c>
      <c r="R27" s="104" t="s">
        <v>128</v>
      </c>
      <c r="S27" s="107">
        <f t="shared" si="22"/>
        <v>1.2118894777755518E-2</v>
      </c>
      <c r="T27" s="118">
        <f t="shared" si="23"/>
        <v>2.4121142624660141E-3</v>
      </c>
      <c r="U27" s="210"/>
      <c r="V27" s="211"/>
      <c r="W27" s="212"/>
      <c r="Y27" s="44">
        <v>97</v>
      </c>
      <c r="Z27" s="112">
        <v>-0.38769999999999999</v>
      </c>
      <c r="AA27" s="103" t="s">
        <v>127</v>
      </c>
      <c r="AB27" s="106">
        <f t="shared" si="24"/>
        <v>-0.1816288675119998</v>
      </c>
      <c r="AC27" s="111">
        <f t="shared" si="25"/>
        <v>-6.4630006216647717E-2</v>
      </c>
      <c r="AD27" s="104" t="s">
        <v>128</v>
      </c>
      <c r="AE27" s="107">
        <f t="shared" si="26"/>
        <v>-7.7429959477036903E-2</v>
      </c>
      <c r="AF27" s="229">
        <f t="shared" si="27"/>
        <v>-1.5989190034264023E-2</v>
      </c>
      <c r="AG27" s="210"/>
      <c r="AH27" s="211"/>
      <c r="AI27" s="212"/>
      <c r="AJ27" s="26"/>
      <c r="AK27" s="44">
        <v>97</v>
      </c>
      <c r="AL27" s="112">
        <v>-0.41</v>
      </c>
      <c r="AM27" s="103" t="s">
        <v>127</v>
      </c>
      <c r="AN27" s="106">
        <f t="shared" si="28"/>
        <v>-0.21143398959999982</v>
      </c>
      <c r="AO27" s="111">
        <f t="shared" si="29"/>
        <v>-7.6126128983250774E-2</v>
      </c>
      <c r="AP27" s="104" t="s">
        <v>128</v>
      </c>
      <c r="AQ27" s="107">
        <f t="shared" si="30"/>
        <v>-0.11103001158166226</v>
      </c>
      <c r="AR27" s="111">
        <f t="shared" si="31"/>
        <v>-2.3263494218446867E-2</v>
      </c>
      <c r="AS27" s="210"/>
      <c r="AT27" s="211"/>
      <c r="AU27" s="212"/>
    </row>
    <row r="28" spans="1:47" ht="14.45" customHeight="1" thickBot="1">
      <c r="A28" s="44">
        <v>96</v>
      </c>
      <c r="B28" s="115">
        <v>9.4100000000000003E-2</v>
      </c>
      <c r="C28" s="41" t="s">
        <v>129</v>
      </c>
      <c r="D28" s="6">
        <f t="shared" si="16"/>
        <v>0.46940588446400011</v>
      </c>
      <c r="E28" s="7">
        <f t="shared" si="17"/>
        <v>0.13687816354726712</v>
      </c>
      <c r="F28" s="179"/>
      <c r="G28" s="179"/>
      <c r="H28" s="179"/>
      <c r="I28" s="179"/>
      <c r="J28" s="179"/>
      <c r="K28" s="180"/>
      <c r="M28" s="49">
        <v>96</v>
      </c>
      <c r="N28" s="113">
        <v>0.13189999999999999</v>
      </c>
      <c r="O28" s="41" t="s">
        <v>129</v>
      </c>
      <c r="P28" s="6">
        <f t="shared" si="20"/>
        <v>0.52017230657599978</v>
      </c>
      <c r="Q28" s="102">
        <f t="shared" si="21"/>
        <v>0.14982286032157566</v>
      </c>
      <c r="R28" s="50"/>
      <c r="S28" s="50"/>
      <c r="T28" s="50"/>
      <c r="U28" s="179"/>
      <c r="V28" s="179"/>
      <c r="W28" s="180"/>
      <c r="Y28" s="49">
        <v>96</v>
      </c>
      <c r="Z28" s="113">
        <v>9.4100000000000003E-2</v>
      </c>
      <c r="AA28" s="41" t="s">
        <v>129</v>
      </c>
      <c r="AB28" s="6">
        <f t="shared" si="24"/>
        <v>0.46940588446400011</v>
      </c>
      <c r="AC28" s="102">
        <f t="shared" si="25"/>
        <v>0.13687816354726712</v>
      </c>
      <c r="AD28" s="50"/>
      <c r="AE28" s="50"/>
      <c r="AF28" s="50"/>
      <c r="AG28" s="179"/>
      <c r="AH28" s="179"/>
      <c r="AI28" s="180"/>
      <c r="AJ28" s="26"/>
      <c r="AK28" s="49">
        <v>96</v>
      </c>
      <c r="AL28" s="113">
        <v>9.4100000000000003E-2</v>
      </c>
      <c r="AM28" s="41" t="s">
        <v>129</v>
      </c>
      <c r="AN28" s="6">
        <f t="shared" si="28"/>
        <v>0.46940588446400011</v>
      </c>
      <c r="AO28" s="102">
        <f t="shared" si="29"/>
        <v>0.13687816354726712</v>
      </c>
      <c r="AP28" s="50"/>
      <c r="AQ28" s="50"/>
      <c r="AR28" s="50"/>
      <c r="AS28" s="179"/>
      <c r="AT28" s="179"/>
      <c r="AU28" s="180"/>
    </row>
    <row r="29" spans="1:47" ht="14.25" thickBot="1">
      <c r="A29" s="44">
        <v>95</v>
      </c>
      <c r="B29" s="115">
        <v>0.22159999999999999</v>
      </c>
      <c r="C29" s="41" t="s">
        <v>130</v>
      </c>
      <c r="D29" s="6">
        <f t="shared" si="16"/>
        <v>0.37713992681600006</v>
      </c>
      <c r="E29" s="7">
        <f t="shared" si="17"/>
        <v>0.11256661351001584</v>
      </c>
      <c r="F29" s="179"/>
      <c r="G29" s="179"/>
      <c r="H29" s="179"/>
      <c r="I29" s="179"/>
      <c r="J29" s="179"/>
      <c r="K29" s="180"/>
      <c r="M29" s="44">
        <v>95</v>
      </c>
      <c r="N29" s="113">
        <v>0.22159999999999999</v>
      </c>
      <c r="O29" s="41" t="s">
        <v>130</v>
      </c>
      <c r="P29" s="6">
        <f t="shared" si="20"/>
        <v>0.37713992681600006</v>
      </c>
      <c r="Q29" s="7">
        <f t="shared" si="21"/>
        <v>0.11256661351001584</v>
      </c>
      <c r="R29" s="179"/>
      <c r="S29" s="179"/>
      <c r="T29" s="179"/>
      <c r="U29" s="179"/>
      <c r="V29" s="179"/>
      <c r="W29" s="180"/>
      <c r="Y29" s="44">
        <v>95</v>
      </c>
      <c r="Z29" s="113">
        <v>0.22159999999999999</v>
      </c>
      <c r="AA29" s="41" t="s">
        <v>130</v>
      </c>
      <c r="AB29" s="6">
        <f t="shared" si="24"/>
        <v>0.37713992681600006</v>
      </c>
      <c r="AC29" s="7">
        <f t="shared" si="25"/>
        <v>0.11256661351001584</v>
      </c>
      <c r="AD29" s="179"/>
      <c r="AE29" s="179"/>
      <c r="AF29" s="179"/>
      <c r="AG29" s="179"/>
      <c r="AH29" s="179"/>
      <c r="AI29" s="180"/>
      <c r="AJ29" s="26"/>
      <c r="AK29" s="44">
        <v>95</v>
      </c>
      <c r="AL29" s="113">
        <v>0.22159999999999999</v>
      </c>
      <c r="AM29" s="41" t="s">
        <v>130</v>
      </c>
      <c r="AN29" s="6">
        <f t="shared" si="28"/>
        <v>0.37713992681600006</v>
      </c>
      <c r="AO29" s="7">
        <f t="shared" si="29"/>
        <v>0.11256661351001584</v>
      </c>
      <c r="AP29" s="179"/>
      <c r="AQ29" s="179"/>
      <c r="AR29" s="179"/>
      <c r="AS29" s="179"/>
      <c r="AT29" s="179"/>
      <c r="AU29" s="180"/>
    </row>
    <row r="30" spans="1:47" ht="16.149999999999999" customHeight="1" thickBot="1">
      <c r="A30" s="44">
        <v>94</v>
      </c>
      <c r="B30" s="115">
        <v>9.9400000000000002E-2</v>
      </c>
      <c r="C30" s="201" t="s">
        <v>143</v>
      </c>
      <c r="D30" s="202"/>
      <c r="E30" s="202"/>
      <c r="F30" s="202"/>
      <c r="G30" s="202"/>
      <c r="H30" s="202"/>
      <c r="I30" s="202"/>
      <c r="J30" s="202"/>
      <c r="K30" s="203"/>
      <c r="M30" s="44">
        <v>94</v>
      </c>
      <c r="N30" s="113">
        <v>9.9400000000000002E-2</v>
      </c>
      <c r="O30" s="201" t="s">
        <v>143</v>
      </c>
      <c r="P30" s="202"/>
      <c r="Q30" s="202"/>
      <c r="R30" s="202"/>
      <c r="S30" s="202"/>
      <c r="T30" s="202"/>
      <c r="U30" s="202"/>
      <c r="V30" s="202"/>
      <c r="W30" s="203"/>
      <c r="Y30" s="44">
        <v>94</v>
      </c>
      <c r="Z30" s="113">
        <v>9.9400000000000002E-2</v>
      </c>
      <c r="AA30" s="201" t="s">
        <v>143</v>
      </c>
      <c r="AB30" s="202"/>
      <c r="AC30" s="202"/>
      <c r="AD30" s="202"/>
      <c r="AE30" s="202"/>
      <c r="AF30" s="202"/>
      <c r="AG30" s="202"/>
      <c r="AH30" s="202"/>
      <c r="AI30" s="203"/>
      <c r="AJ30" s="26"/>
      <c r="AK30" s="44">
        <v>94</v>
      </c>
      <c r="AL30" s="113">
        <v>9.9400000000000002E-2</v>
      </c>
      <c r="AM30" s="201" t="s">
        <v>143</v>
      </c>
      <c r="AN30" s="202"/>
      <c r="AO30" s="202"/>
      <c r="AP30" s="202"/>
      <c r="AQ30" s="202"/>
      <c r="AR30" s="202"/>
      <c r="AS30" s="202"/>
      <c r="AT30" s="202"/>
      <c r="AU30" s="203"/>
    </row>
    <row r="31" spans="1:47" ht="16.149999999999999" customHeight="1" thickBot="1">
      <c r="A31" s="44">
        <v>93</v>
      </c>
      <c r="B31" s="117">
        <v>2.5399999999999999E-2</v>
      </c>
      <c r="C31" s="201"/>
      <c r="D31" s="202"/>
      <c r="E31" s="202"/>
      <c r="F31" s="202"/>
      <c r="G31" s="202"/>
      <c r="H31" s="202"/>
      <c r="I31" s="202"/>
      <c r="J31" s="202"/>
      <c r="K31" s="203"/>
      <c r="M31" s="44">
        <v>93</v>
      </c>
      <c r="N31" s="119">
        <v>2.5399999999999999E-2</v>
      </c>
      <c r="O31" s="201"/>
      <c r="P31" s="202"/>
      <c r="Q31" s="202"/>
      <c r="R31" s="202"/>
      <c r="S31" s="202"/>
      <c r="T31" s="202"/>
      <c r="U31" s="202"/>
      <c r="V31" s="202"/>
      <c r="W31" s="203"/>
      <c r="Y31" s="44">
        <v>93</v>
      </c>
      <c r="Z31" s="120">
        <v>2.5399999999999999E-2</v>
      </c>
      <c r="AA31" s="201"/>
      <c r="AB31" s="202"/>
      <c r="AC31" s="202"/>
      <c r="AD31" s="202"/>
      <c r="AE31" s="202"/>
      <c r="AF31" s="202"/>
      <c r="AG31" s="202"/>
      <c r="AH31" s="202"/>
      <c r="AI31" s="203"/>
      <c r="AJ31" s="26"/>
      <c r="AK31" s="44">
        <v>93</v>
      </c>
      <c r="AL31" s="120">
        <v>2.5399999999999999E-2</v>
      </c>
      <c r="AM31" s="201"/>
      <c r="AN31" s="202"/>
      <c r="AO31" s="202"/>
      <c r="AP31" s="202"/>
      <c r="AQ31" s="202"/>
      <c r="AR31" s="202"/>
      <c r="AS31" s="202"/>
      <c r="AT31" s="202"/>
      <c r="AU31" s="203"/>
    </row>
    <row r="32" spans="1:47" ht="16.149999999999999" customHeight="1" thickBot="1">
      <c r="A32" s="51">
        <v>92</v>
      </c>
      <c r="B32" s="15"/>
      <c r="C32" s="204"/>
      <c r="D32" s="205"/>
      <c r="E32" s="205"/>
      <c r="F32" s="205"/>
      <c r="G32" s="205"/>
      <c r="H32" s="205"/>
      <c r="I32" s="205"/>
      <c r="J32" s="205"/>
      <c r="K32" s="206"/>
      <c r="M32" s="51">
        <v>92</v>
      </c>
      <c r="N32" s="52">
        <v>0.2384</v>
      </c>
      <c r="O32" s="204"/>
      <c r="P32" s="205"/>
      <c r="Q32" s="205"/>
      <c r="R32" s="205"/>
      <c r="S32" s="205"/>
      <c r="T32" s="205"/>
      <c r="U32" s="205"/>
      <c r="V32" s="205"/>
      <c r="W32" s="206"/>
      <c r="Y32" s="51">
        <v>92</v>
      </c>
      <c r="Z32" s="52">
        <v>0.2384</v>
      </c>
      <c r="AA32" s="204"/>
      <c r="AB32" s="205"/>
      <c r="AC32" s="205"/>
      <c r="AD32" s="205"/>
      <c r="AE32" s="205"/>
      <c r="AF32" s="205"/>
      <c r="AG32" s="205"/>
      <c r="AH32" s="205"/>
      <c r="AI32" s="206"/>
      <c r="AJ32" s="26"/>
      <c r="AK32" s="51">
        <v>92</v>
      </c>
      <c r="AL32" s="52">
        <v>0.2384</v>
      </c>
      <c r="AM32" s="204"/>
      <c r="AN32" s="205"/>
      <c r="AO32" s="205"/>
      <c r="AP32" s="205"/>
      <c r="AQ32" s="205"/>
      <c r="AR32" s="205"/>
      <c r="AS32" s="205"/>
      <c r="AT32" s="205"/>
      <c r="AU32" s="206"/>
    </row>
    <row r="33" spans="1:47" ht="14.25" thickTop="1">
      <c r="A33" s="191" t="s">
        <v>134</v>
      </c>
      <c r="B33" s="192"/>
      <c r="C33" s="197" t="s">
        <v>131</v>
      </c>
      <c r="D33" s="198"/>
      <c r="E33" s="225">
        <f>SUM(E19:E29)/11</f>
        <v>6.7823551046470532E-2</v>
      </c>
      <c r="F33" s="197" t="s">
        <v>132</v>
      </c>
      <c r="G33" s="198"/>
      <c r="H33" s="225">
        <f>SUM(H19:H27)/9</f>
        <v>5.5566255265494711E-2</v>
      </c>
      <c r="I33" s="197" t="s">
        <v>133</v>
      </c>
      <c r="J33" s="198"/>
      <c r="K33" s="226">
        <f>SUM(K19:K22)/4</f>
        <v>5.9982136012220411E-2</v>
      </c>
      <c r="M33" s="191" t="s">
        <v>134</v>
      </c>
      <c r="N33" s="192"/>
      <c r="O33" s="197" t="s">
        <v>131</v>
      </c>
      <c r="P33" s="198"/>
      <c r="Q33" s="225">
        <f>SUM(Q19:Q29)/11</f>
        <v>9.9473620741517763E-2</v>
      </c>
      <c r="R33" s="197" t="s">
        <v>132</v>
      </c>
      <c r="S33" s="198"/>
      <c r="T33" s="225">
        <f>SUM(T19:T27)/9</f>
        <v>9.495800545235987E-2</v>
      </c>
      <c r="U33" s="197" t="s">
        <v>133</v>
      </c>
      <c r="V33" s="198"/>
      <c r="W33" s="226">
        <f>SUM(W19:W22)/4</f>
        <v>9.6087909134350946E-2</v>
      </c>
      <c r="Y33" s="191" t="s">
        <v>134</v>
      </c>
      <c r="Z33" s="192"/>
      <c r="AA33" s="197" t="s">
        <v>131</v>
      </c>
      <c r="AB33" s="198"/>
      <c r="AC33" s="225">
        <f>SUM(AC19:AC29)/11</f>
        <v>8.0796967608283032E-2</v>
      </c>
      <c r="AD33" s="197" t="s">
        <v>132</v>
      </c>
      <c r="AE33" s="198"/>
      <c r="AF33" s="225">
        <f>SUM(AF19:AF27)/9</f>
        <v>7.5087048613110441E-2</v>
      </c>
      <c r="AG33" s="197" t="s">
        <v>133</v>
      </c>
      <c r="AH33" s="198"/>
      <c r="AI33" s="226">
        <f>SUM(AI19:AI22)/4</f>
        <v>7.643297916611147E-2</v>
      </c>
      <c r="AK33" s="191" t="s">
        <v>134</v>
      </c>
      <c r="AL33" s="192"/>
      <c r="AM33" s="197" t="s">
        <v>131</v>
      </c>
      <c r="AN33" s="198"/>
      <c r="AO33" s="225">
        <f>SUM(AO19:AO29)/11</f>
        <v>8.9445767072701562E-2</v>
      </c>
      <c r="AP33" s="197" t="s">
        <v>132</v>
      </c>
      <c r="AQ33" s="198"/>
      <c r="AR33" s="225">
        <f>SUM(AR19:AR27)/9</f>
        <v>7.7649458015750267E-2</v>
      </c>
      <c r="AS33" s="197" t="s">
        <v>133</v>
      </c>
      <c r="AT33" s="198"/>
      <c r="AU33" s="226">
        <f>SUM(AU19:AU22)/4</f>
        <v>8.1145310336332876E-2</v>
      </c>
    </row>
    <row r="34" spans="1:47" ht="14.25" thickBot="1">
      <c r="A34" s="193"/>
      <c r="B34" s="194"/>
      <c r="C34" s="199"/>
      <c r="D34" s="200"/>
      <c r="E34" s="227"/>
      <c r="F34" s="199"/>
      <c r="G34" s="200"/>
      <c r="H34" s="227"/>
      <c r="I34" s="199"/>
      <c r="J34" s="200"/>
      <c r="K34" s="228"/>
      <c r="M34" s="193"/>
      <c r="N34" s="194"/>
      <c r="O34" s="199"/>
      <c r="P34" s="200"/>
      <c r="Q34" s="227"/>
      <c r="R34" s="199"/>
      <c r="S34" s="200"/>
      <c r="T34" s="227"/>
      <c r="U34" s="199"/>
      <c r="V34" s="200"/>
      <c r="W34" s="228"/>
      <c r="Y34" s="193"/>
      <c r="Z34" s="194"/>
      <c r="AA34" s="199"/>
      <c r="AB34" s="200"/>
      <c r="AC34" s="227"/>
      <c r="AD34" s="199"/>
      <c r="AE34" s="200"/>
      <c r="AF34" s="227"/>
      <c r="AG34" s="199"/>
      <c r="AH34" s="200"/>
      <c r="AI34" s="228"/>
      <c r="AK34" s="193"/>
      <c r="AL34" s="194"/>
      <c r="AM34" s="199"/>
      <c r="AN34" s="200"/>
      <c r="AO34" s="227"/>
      <c r="AP34" s="199"/>
      <c r="AQ34" s="200"/>
      <c r="AR34" s="227"/>
      <c r="AS34" s="199"/>
      <c r="AT34" s="200"/>
      <c r="AU34" s="228"/>
    </row>
    <row r="35" spans="1:47" ht="14.25" thickTop="1"/>
  </sheetData>
  <mergeCells count="63">
    <mergeCell ref="AS15:AT16"/>
    <mergeCell ref="AU15:AU16"/>
    <mergeCell ref="U15:V16"/>
    <mergeCell ref="W15:W16"/>
    <mergeCell ref="AA30:AI32"/>
    <mergeCell ref="AM30:AU32"/>
    <mergeCell ref="AG23:AI27"/>
    <mergeCell ref="AS23:AU27"/>
    <mergeCell ref="AI15:AI16"/>
    <mergeCell ref="AM15:AN16"/>
    <mergeCell ref="AO15:AO16"/>
    <mergeCell ref="AP15:AQ16"/>
    <mergeCell ref="AC15:AC16"/>
    <mergeCell ref="AD15:AE16"/>
    <mergeCell ref="AA15:AB16"/>
    <mergeCell ref="AF15:AF16"/>
    <mergeCell ref="AG15:AH16"/>
    <mergeCell ref="AR15:AR16"/>
    <mergeCell ref="K15:K16"/>
    <mergeCell ref="O15:P16"/>
    <mergeCell ref="Q15:Q16"/>
    <mergeCell ref="R15:S16"/>
    <mergeCell ref="T15:T16"/>
    <mergeCell ref="C15:D16"/>
    <mergeCell ref="E15:E16"/>
    <mergeCell ref="F15:G16"/>
    <mergeCell ref="H15:H16"/>
    <mergeCell ref="I15:J16"/>
    <mergeCell ref="H33:H34"/>
    <mergeCell ref="I33:J34"/>
    <mergeCell ref="C30:K32"/>
    <mergeCell ref="O30:W32"/>
    <mergeCell ref="U23:W27"/>
    <mergeCell ref="AM33:AN34"/>
    <mergeCell ref="Q33:Q34"/>
    <mergeCell ref="R33:S34"/>
    <mergeCell ref="T33:T34"/>
    <mergeCell ref="U33:V34"/>
    <mergeCell ref="W33:W34"/>
    <mergeCell ref="AA33:AB34"/>
    <mergeCell ref="Y33:Z34"/>
    <mergeCell ref="AK33:AL34"/>
    <mergeCell ref="AO33:AO34"/>
    <mergeCell ref="AP33:AQ34"/>
    <mergeCell ref="AR33:AR34"/>
    <mergeCell ref="AS33:AT34"/>
    <mergeCell ref="AU33:AU34"/>
    <mergeCell ref="A33:B34"/>
    <mergeCell ref="A16:B16"/>
    <mergeCell ref="M16:N16"/>
    <mergeCell ref="Y16:Z16"/>
    <mergeCell ref="AK16:AL16"/>
    <mergeCell ref="AC33:AC34"/>
    <mergeCell ref="AD33:AE34"/>
    <mergeCell ref="AF33:AF34"/>
    <mergeCell ref="AG33:AH34"/>
    <mergeCell ref="K33:K34"/>
    <mergeCell ref="O33:P34"/>
    <mergeCell ref="AI33:AI34"/>
    <mergeCell ref="M33:N34"/>
    <mergeCell ref="C33:D34"/>
    <mergeCell ref="E33:E34"/>
    <mergeCell ref="F33:G34"/>
  </mergeCells>
  <phoneticPr fontId="7" type="noConversion"/>
  <pageMargins left="0.70866141732283472" right="0.70866141732283472" top="0.74803149606299213" bottom="0.74803149606299213" header="0.31496062992125984" footer="0.31496062992125984"/>
  <pageSetup paperSize="1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BC49"/>
  <sheetViews>
    <sheetView workbookViewId="0" xr3:uid="{51F8DEE0-4D01-5F28-A812-FC0BD7CAC4A5}">
      <pane xSplit="2" ySplit="1" topLeftCell="C2" activePane="bottomRight" state="frozen"/>
      <selection pane="bottomRight" activeCell="A26" sqref="A26"/>
      <selection pane="bottomLeft" activeCell="A2" sqref="A2"/>
      <selection pane="topRight" activeCell="C1" sqref="C1"/>
    </sheetView>
  </sheetViews>
  <sheetFormatPr defaultRowHeight="16.5"/>
  <cols>
    <col min="1" max="1" width="5.75" style="21" customWidth="1"/>
    <col min="2" max="2" width="6.875" style="20" customWidth="1"/>
    <col min="3" max="3" width="6.625" customWidth="1"/>
  </cols>
  <sheetData>
    <row r="1" spans="1:55" s="4" customFormat="1" ht="36" customHeight="1" thickBot="1">
      <c r="A1" s="16" t="s">
        <v>144</v>
      </c>
      <c r="B1" s="17" t="s">
        <v>145</v>
      </c>
      <c r="C1" s="60">
        <v>92</v>
      </c>
      <c r="D1" s="61" t="s">
        <v>146</v>
      </c>
      <c r="E1" s="61" t="s">
        <v>147</v>
      </c>
      <c r="F1" s="61" t="s">
        <v>148</v>
      </c>
      <c r="G1" s="61" t="s">
        <v>149</v>
      </c>
      <c r="H1" s="61" t="s">
        <v>148</v>
      </c>
      <c r="I1" s="61" t="s">
        <v>150</v>
      </c>
      <c r="J1" s="61" t="s">
        <v>148</v>
      </c>
      <c r="K1" s="61" t="s">
        <v>151</v>
      </c>
      <c r="L1" s="61" t="s">
        <v>148</v>
      </c>
      <c r="M1" s="61" t="s">
        <v>152</v>
      </c>
      <c r="N1" s="61" t="s">
        <v>148</v>
      </c>
      <c r="O1" s="61" t="s">
        <v>153</v>
      </c>
      <c r="P1" s="61" t="s">
        <v>148</v>
      </c>
      <c r="Q1" s="61" t="s">
        <v>154</v>
      </c>
      <c r="R1" s="61" t="s">
        <v>148</v>
      </c>
      <c r="S1" s="61" t="s">
        <v>155</v>
      </c>
      <c r="T1" s="61" t="s">
        <v>148</v>
      </c>
      <c r="U1" s="61" t="s">
        <v>156</v>
      </c>
      <c r="V1" s="61" t="s">
        <v>148</v>
      </c>
      <c r="W1" s="61" t="s">
        <v>157</v>
      </c>
      <c r="X1" s="61" t="s">
        <v>148</v>
      </c>
      <c r="Y1" s="61" t="s">
        <v>158</v>
      </c>
      <c r="Z1" s="61" t="s">
        <v>148</v>
      </c>
      <c r="AA1" s="61" t="s">
        <v>159</v>
      </c>
      <c r="AB1" s="61" t="s">
        <v>148</v>
      </c>
      <c r="AC1" s="61" t="s">
        <v>160</v>
      </c>
      <c r="AD1" s="61" t="s">
        <v>148</v>
      </c>
      <c r="AE1" s="61" t="s">
        <v>161</v>
      </c>
      <c r="AF1" s="61" t="s">
        <v>146</v>
      </c>
      <c r="AG1" s="61" t="s">
        <v>162</v>
      </c>
      <c r="AH1" s="61" t="s">
        <v>146</v>
      </c>
      <c r="AI1" s="61" t="s">
        <v>163</v>
      </c>
      <c r="AJ1" s="61" t="s">
        <v>146</v>
      </c>
      <c r="AK1" s="61" t="s">
        <v>164</v>
      </c>
      <c r="AL1" s="61" t="s">
        <v>146</v>
      </c>
      <c r="AM1" s="61" t="s">
        <v>165</v>
      </c>
      <c r="AN1" s="61" t="s">
        <v>146</v>
      </c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55" ht="17.25" thickBot="1">
      <c r="A2" s="136" t="s">
        <v>166</v>
      </c>
      <c r="B2" s="127" t="s">
        <v>31</v>
      </c>
      <c r="C2" s="129"/>
      <c r="D2" s="129"/>
      <c r="E2" s="139">
        <v>44.6</v>
      </c>
      <c r="F2" s="140">
        <v>61.05</v>
      </c>
      <c r="G2" s="139">
        <v>55</v>
      </c>
      <c r="H2" s="141">
        <v>72.94</v>
      </c>
      <c r="I2" s="139">
        <v>65.599999999999994</v>
      </c>
      <c r="J2" s="141">
        <v>113.25</v>
      </c>
      <c r="K2" s="139">
        <v>107.5</v>
      </c>
      <c r="L2" s="141">
        <v>121.05</v>
      </c>
      <c r="M2" s="139">
        <v>106.5</v>
      </c>
      <c r="N2" s="141">
        <v>70.27</v>
      </c>
      <c r="O2" s="139">
        <v>66.900000000000006</v>
      </c>
      <c r="P2" s="141">
        <v>105.5</v>
      </c>
      <c r="Q2" s="139">
        <v>100.5</v>
      </c>
      <c r="R2" s="141">
        <v>146.69999999999999</v>
      </c>
      <c r="S2" s="139">
        <v>139.5</v>
      </c>
      <c r="T2" s="141">
        <v>77.2</v>
      </c>
      <c r="U2" s="143">
        <v>71.5</v>
      </c>
      <c r="V2" s="141">
        <v>109.99</v>
      </c>
      <c r="W2" s="139">
        <v>107.5</v>
      </c>
      <c r="X2" s="141">
        <v>175.29</v>
      </c>
      <c r="Y2" s="139">
        <v>168</v>
      </c>
      <c r="Z2" s="141">
        <v>194.3</v>
      </c>
      <c r="AA2" s="139">
        <v>190</v>
      </c>
      <c r="AB2" s="141">
        <v>162.19999999999999</v>
      </c>
      <c r="AC2" s="139">
        <v>149</v>
      </c>
      <c r="AD2" s="141">
        <v>164.5</v>
      </c>
      <c r="AE2" s="128"/>
      <c r="AF2" s="128"/>
      <c r="AG2" s="128"/>
      <c r="AH2" s="128"/>
      <c r="AI2" s="128"/>
      <c r="AJ2" s="128"/>
      <c r="AK2" s="63"/>
      <c r="AL2" s="63"/>
      <c r="AM2" s="128"/>
      <c r="AN2" s="128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</row>
    <row r="3" spans="1:55" ht="17.25" thickBot="1">
      <c r="A3" s="136" t="s">
        <v>167</v>
      </c>
      <c r="B3" s="127" t="s">
        <v>35</v>
      </c>
      <c r="C3" s="129"/>
      <c r="D3" s="129"/>
      <c r="E3" s="139">
        <v>136.5</v>
      </c>
      <c r="F3" s="140">
        <v>171.05</v>
      </c>
      <c r="G3" s="139">
        <v>145.5</v>
      </c>
      <c r="H3" s="141">
        <v>217.73</v>
      </c>
      <c r="I3" s="139">
        <v>181.5</v>
      </c>
      <c r="J3" s="141">
        <v>282</v>
      </c>
      <c r="K3" s="139">
        <v>237.5</v>
      </c>
      <c r="L3" s="141">
        <v>245.4</v>
      </c>
      <c r="M3" s="139">
        <v>194.5</v>
      </c>
      <c r="N3" s="141">
        <v>76.83</v>
      </c>
      <c r="O3" s="139">
        <v>68.599999999999994</v>
      </c>
      <c r="P3" s="141">
        <v>175.33</v>
      </c>
      <c r="Q3" s="139">
        <v>151.5</v>
      </c>
      <c r="R3" s="141">
        <v>133.6</v>
      </c>
      <c r="S3" s="139">
        <v>117.5</v>
      </c>
      <c r="T3" s="141">
        <v>92.19</v>
      </c>
      <c r="U3" s="143">
        <v>81.400000000000006</v>
      </c>
      <c r="V3" s="141">
        <v>99.29</v>
      </c>
      <c r="W3" s="139">
        <v>88.7</v>
      </c>
      <c r="X3" s="141">
        <v>89.61</v>
      </c>
      <c r="Y3" s="139">
        <v>80.400000000000006</v>
      </c>
      <c r="Z3" s="141">
        <v>100.25</v>
      </c>
      <c r="AA3" s="139">
        <v>87.2</v>
      </c>
      <c r="AB3" s="141">
        <v>88.64</v>
      </c>
      <c r="AC3" s="139">
        <v>79</v>
      </c>
      <c r="AD3" s="141">
        <v>96.62</v>
      </c>
      <c r="AE3" s="128"/>
      <c r="AF3" s="128"/>
      <c r="AG3" s="128"/>
      <c r="AH3" s="128"/>
      <c r="AI3" s="128"/>
      <c r="AJ3" s="128"/>
      <c r="AK3" s="63"/>
      <c r="AL3" s="63"/>
      <c r="AM3" s="128"/>
      <c r="AN3" s="128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</row>
    <row r="4" spans="1:55" ht="17.25" thickBot="1">
      <c r="A4" s="136" t="s">
        <v>168</v>
      </c>
      <c r="B4" s="127" t="s">
        <v>39</v>
      </c>
      <c r="C4" s="129"/>
      <c r="D4" s="129"/>
      <c r="E4" s="139">
        <v>37</v>
      </c>
      <c r="F4" s="140">
        <v>29.17</v>
      </c>
      <c r="G4" s="139">
        <v>26.3</v>
      </c>
      <c r="H4" s="144">
        <v>50.48</v>
      </c>
      <c r="I4" s="139">
        <v>43.4</v>
      </c>
      <c r="J4" s="144">
        <v>57.78</v>
      </c>
      <c r="K4" s="139">
        <v>50.5</v>
      </c>
      <c r="L4" s="144">
        <v>62.82</v>
      </c>
      <c r="M4" s="139">
        <v>56.3</v>
      </c>
      <c r="N4" s="144">
        <v>32.78</v>
      </c>
      <c r="O4" s="139">
        <v>29.95</v>
      </c>
      <c r="P4" s="144">
        <v>45.15</v>
      </c>
      <c r="Q4" s="139">
        <v>43.35</v>
      </c>
      <c r="R4" s="144">
        <v>37.58</v>
      </c>
      <c r="S4" s="139">
        <v>34.75</v>
      </c>
      <c r="T4" s="144">
        <v>28.72</v>
      </c>
      <c r="U4" s="143">
        <v>26.8</v>
      </c>
      <c r="V4" s="144">
        <v>32.42</v>
      </c>
      <c r="W4" s="139">
        <v>31.1</v>
      </c>
      <c r="X4" s="144">
        <v>37.25</v>
      </c>
      <c r="Y4" s="139">
        <v>35.65</v>
      </c>
      <c r="Z4" s="144">
        <v>49.75</v>
      </c>
      <c r="AA4" s="139">
        <v>48.2</v>
      </c>
      <c r="AB4" s="144">
        <v>53.3</v>
      </c>
      <c r="AC4" s="139">
        <v>51.6</v>
      </c>
      <c r="AD4" s="144">
        <v>51.65</v>
      </c>
      <c r="AE4" s="128"/>
      <c r="AF4" s="128"/>
      <c r="AG4" s="128"/>
      <c r="AH4" s="128"/>
      <c r="AI4" s="128"/>
      <c r="AJ4" s="128"/>
      <c r="AK4" s="63"/>
      <c r="AL4" s="63"/>
      <c r="AM4" s="128"/>
      <c r="AN4" s="128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</row>
    <row r="5" spans="1:55" ht="17.25" thickBot="1">
      <c r="A5" s="136" t="s">
        <v>169</v>
      </c>
      <c r="B5" s="127" t="s">
        <v>37</v>
      </c>
      <c r="C5" s="129"/>
      <c r="D5" s="129"/>
      <c r="E5" s="139">
        <v>65.5</v>
      </c>
      <c r="F5" s="140">
        <v>58.22</v>
      </c>
      <c r="G5" s="139">
        <v>51</v>
      </c>
      <c r="H5" s="141">
        <v>67.63</v>
      </c>
      <c r="I5" s="139">
        <v>61</v>
      </c>
      <c r="J5" s="141">
        <v>72.03</v>
      </c>
      <c r="K5" s="139">
        <v>67.7</v>
      </c>
      <c r="L5" s="141">
        <v>65.31</v>
      </c>
      <c r="M5" s="139">
        <v>60.5</v>
      </c>
      <c r="N5" s="141">
        <v>47.65</v>
      </c>
      <c r="O5" s="139">
        <v>46.25</v>
      </c>
      <c r="P5" s="141">
        <v>67.819999999999993</v>
      </c>
      <c r="Q5" s="139">
        <v>64.900000000000006</v>
      </c>
      <c r="R5" s="141">
        <v>74</v>
      </c>
      <c r="S5" s="139">
        <v>71.099999999999994</v>
      </c>
      <c r="T5" s="141">
        <v>78.8</v>
      </c>
      <c r="U5" s="143">
        <v>75</v>
      </c>
      <c r="V5" s="141">
        <v>100</v>
      </c>
      <c r="W5" s="139">
        <v>99.6</v>
      </c>
      <c r="X5" s="141">
        <v>108.5</v>
      </c>
      <c r="Y5" s="139">
        <v>104.5</v>
      </c>
      <c r="Z5" s="141">
        <v>144</v>
      </c>
      <c r="AA5" s="139">
        <v>139.5</v>
      </c>
      <c r="AB5" s="141">
        <v>147.5</v>
      </c>
      <c r="AC5" s="139">
        <v>139.5</v>
      </c>
      <c r="AD5" s="141">
        <v>187.5</v>
      </c>
      <c r="AE5" s="128"/>
      <c r="AF5" s="128"/>
      <c r="AG5" s="128"/>
      <c r="AH5" s="128"/>
      <c r="AI5" s="128"/>
      <c r="AJ5" s="128"/>
      <c r="AK5" s="63"/>
      <c r="AL5" s="63"/>
      <c r="AM5" s="128"/>
      <c r="AN5" s="128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</row>
    <row r="6" spans="1:55" ht="17.25" thickBot="1">
      <c r="A6" s="136" t="s">
        <v>170</v>
      </c>
      <c r="B6" s="127" t="s">
        <v>41</v>
      </c>
      <c r="C6" s="129"/>
      <c r="D6" s="129"/>
      <c r="E6" s="139">
        <v>83.5</v>
      </c>
      <c r="F6" s="144">
        <v>64.709999999999994</v>
      </c>
      <c r="G6" s="139">
        <v>56</v>
      </c>
      <c r="H6" s="144">
        <v>50.91</v>
      </c>
      <c r="I6" s="139">
        <v>46.3</v>
      </c>
      <c r="J6" s="144">
        <v>62.77</v>
      </c>
      <c r="K6" s="139">
        <v>58.7</v>
      </c>
      <c r="L6" s="144">
        <v>49.47</v>
      </c>
      <c r="M6" s="139">
        <v>45.05</v>
      </c>
      <c r="N6" s="144">
        <v>39.14</v>
      </c>
      <c r="O6" s="139">
        <v>35.299999999999997</v>
      </c>
      <c r="P6" s="144">
        <v>73.8</v>
      </c>
      <c r="Q6" s="139">
        <v>68.900000000000006</v>
      </c>
      <c r="R6" s="144">
        <v>64.88</v>
      </c>
      <c r="S6" s="139">
        <v>61.5</v>
      </c>
      <c r="T6" s="144">
        <v>67.3</v>
      </c>
      <c r="U6" s="139">
        <v>63.1</v>
      </c>
      <c r="V6" s="144">
        <v>72.3</v>
      </c>
      <c r="W6" s="139">
        <v>67.7</v>
      </c>
      <c r="X6" s="144">
        <v>73.5</v>
      </c>
      <c r="Y6" s="139">
        <v>68.7</v>
      </c>
      <c r="Z6" s="144">
        <v>83</v>
      </c>
      <c r="AA6" s="139">
        <v>78.5</v>
      </c>
      <c r="AB6" s="144">
        <v>57</v>
      </c>
      <c r="AC6" s="139">
        <v>50.6</v>
      </c>
      <c r="AD6" s="144">
        <v>64.099999999999994</v>
      </c>
      <c r="AE6" s="128"/>
      <c r="AF6" s="128"/>
      <c r="AG6" s="128"/>
      <c r="AH6" s="128"/>
      <c r="AI6" s="128"/>
      <c r="AJ6" s="128"/>
      <c r="AK6" s="63"/>
      <c r="AL6" s="63"/>
      <c r="AM6" s="128"/>
      <c r="AN6" s="128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</row>
    <row r="7" spans="1:55" ht="17.25" thickBot="1">
      <c r="A7" s="136" t="s">
        <v>171</v>
      </c>
      <c r="B7" s="127" t="s">
        <v>43</v>
      </c>
      <c r="C7" s="129"/>
      <c r="D7" s="129"/>
      <c r="E7" s="139">
        <v>50.5</v>
      </c>
      <c r="F7" s="146">
        <v>67</v>
      </c>
      <c r="G7" s="139">
        <v>62.5</v>
      </c>
      <c r="H7" s="141">
        <v>61.5</v>
      </c>
      <c r="I7" s="139">
        <v>56.6</v>
      </c>
      <c r="J7" s="141">
        <v>66.11</v>
      </c>
      <c r="K7" s="139">
        <v>60.9</v>
      </c>
      <c r="L7" s="141">
        <v>69.47</v>
      </c>
      <c r="M7" s="139">
        <v>68.2</v>
      </c>
      <c r="N7" s="141">
        <v>69</v>
      </c>
      <c r="O7" s="139">
        <v>61.29</v>
      </c>
      <c r="P7" s="141">
        <v>70.930000000000007</v>
      </c>
      <c r="Q7" s="139">
        <v>65.23</v>
      </c>
      <c r="R7" s="141">
        <v>79.069999999999993</v>
      </c>
      <c r="S7" s="139">
        <v>92</v>
      </c>
      <c r="T7" s="141">
        <v>107.52</v>
      </c>
      <c r="U7" s="143">
        <v>99.7</v>
      </c>
      <c r="V7" s="141">
        <v>99.96</v>
      </c>
      <c r="W7" s="139">
        <v>94</v>
      </c>
      <c r="X7" s="146">
        <v>98.45</v>
      </c>
      <c r="Y7" s="139">
        <v>92.8</v>
      </c>
      <c r="Z7" s="141">
        <v>98.53</v>
      </c>
      <c r="AA7" s="139">
        <v>93</v>
      </c>
      <c r="AB7" s="141">
        <v>103.96</v>
      </c>
      <c r="AC7" s="139">
        <v>98.2</v>
      </c>
      <c r="AD7" s="141">
        <v>106.99</v>
      </c>
      <c r="AE7" s="128"/>
      <c r="AF7" s="128"/>
      <c r="AG7" s="128"/>
      <c r="AH7" s="128"/>
      <c r="AI7" s="128"/>
      <c r="AJ7" s="128"/>
      <c r="AK7" s="65"/>
      <c r="AL7" s="65"/>
      <c r="AM7" s="128"/>
      <c r="AN7" s="128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</row>
    <row r="8" spans="1:55" ht="17.25" thickBot="1">
      <c r="A8" s="136" t="s">
        <v>172</v>
      </c>
      <c r="B8" s="127" t="s">
        <v>45</v>
      </c>
      <c r="C8" s="129"/>
      <c r="D8" s="129"/>
      <c r="E8" s="139">
        <v>30</v>
      </c>
      <c r="F8" s="140">
        <v>37.880000000000003</v>
      </c>
      <c r="G8" s="139">
        <v>35.200000000000003</v>
      </c>
      <c r="H8" s="141">
        <v>31.17</v>
      </c>
      <c r="I8" s="139">
        <v>28.55</v>
      </c>
      <c r="J8" s="141">
        <v>36.42</v>
      </c>
      <c r="K8" s="139">
        <v>33.4</v>
      </c>
      <c r="L8" s="141">
        <v>46.09</v>
      </c>
      <c r="M8" s="139">
        <v>56.55</v>
      </c>
      <c r="N8" s="141">
        <v>53.64</v>
      </c>
      <c r="O8" s="139">
        <v>46.95</v>
      </c>
      <c r="P8" s="141">
        <v>67.09</v>
      </c>
      <c r="Q8" s="139">
        <v>62.7</v>
      </c>
      <c r="R8" s="141">
        <v>74.73</v>
      </c>
      <c r="S8" s="139">
        <v>77.099999999999994</v>
      </c>
      <c r="T8" s="141">
        <v>99.56</v>
      </c>
      <c r="U8" s="143">
        <v>94.3</v>
      </c>
      <c r="V8" s="141">
        <v>112.16</v>
      </c>
      <c r="W8" s="139">
        <v>105</v>
      </c>
      <c r="X8" s="141">
        <v>101.8</v>
      </c>
      <c r="Y8" s="139">
        <v>97</v>
      </c>
      <c r="Z8" s="141">
        <v>110.1</v>
      </c>
      <c r="AA8" s="139">
        <v>104</v>
      </c>
      <c r="AB8" s="141">
        <v>105.6</v>
      </c>
      <c r="AC8" s="139">
        <v>98</v>
      </c>
      <c r="AD8" s="141">
        <v>109.6</v>
      </c>
      <c r="AE8" s="128"/>
      <c r="AF8" s="128"/>
      <c r="AG8" s="128"/>
      <c r="AH8" s="128"/>
      <c r="AI8" s="128"/>
      <c r="AJ8" s="128"/>
      <c r="AK8" s="63"/>
      <c r="AL8" s="63"/>
      <c r="AM8" s="128"/>
      <c r="AN8" s="128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</row>
    <row r="9" spans="1:55" ht="17.25" thickBot="1">
      <c r="A9" s="136" t="s">
        <v>173</v>
      </c>
      <c r="B9" s="127" t="s">
        <v>16</v>
      </c>
      <c r="C9" s="129"/>
      <c r="D9" s="129"/>
      <c r="E9" s="139">
        <v>56.5</v>
      </c>
      <c r="F9" s="140">
        <v>59.57</v>
      </c>
      <c r="G9" s="139">
        <v>55</v>
      </c>
      <c r="H9" s="141">
        <v>58.644999999999996</v>
      </c>
      <c r="I9" s="139">
        <v>50.1</v>
      </c>
      <c r="J9" s="141">
        <v>59.823</v>
      </c>
      <c r="K9" s="139">
        <v>54.4</v>
      </c>
      <c r="L9" s="141">
        <v>95.5</v>
      </c>
      <c r="M9" s="139">
        <v>88</v>
      </c>
      <c r="N9" s="141">
        <v>50.300000000000004</v>
      </c>
      <c r="O9" s="139">
        <v>43.2</v>
      </c>
      <c r="P9" s="141">
        <v>73.810999999999993</v>
      </c>
      <c r="Q9" s="139">
        <v>67</v>
      </c>
      <c r="R9" s="141">
        <v>101.5</v>
      </c>
      <c r="S9" s="139">
        <v>97</v>
      </c>
      <c r="T9" s="141">
        <v>87.6</v>
      </c>
      <c r="U9" s="143">
        <v>79.2</v>
      </c>
      <c r="V9" s="141">
        <v>82.6</v>
      </c>
      <c r="W9" s="139">
        <v>79</v>
      </c>
      <c r="X9" s="141">
        <v>84.92</v>
      </c>
      <c r="Y9" s="139">
        <v>79.8</v>
      </c>
      <c r="Z9" s="141">
        <v>74.2</v>
      </c>
      <c r="AA9" s="139">
        <v>71.5</v>
      </c>
      <c r="AB9" s="141">
        <v>78.7</v>
      </c>
      <c r="AC9" s="139">
        <v>72.400000000000006</v>
      </c>
      <c r="AD9" s="141">
        <v>92.8</v>
      </c>
      <c r="AE9" s="128"/>
      <c r="AF9" s="128"/>
      <c r="AG9" s="128"/>
      <c r="AH9" s="128"/>
      <c r="AI9" s="128"/>
      <c r="AJ9" s="128"/>
      <c r="AK9" s="63"/>
      <c r="AL9" s="63"/>
      <c r="AM9" s="128"/>
      <c r="AN9" s="128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</row>
    <row r="10" spans="1:55" ht="17.25" thickBot="1">
      <c r="A10" s="136" t="s">
        <v>174</v>
      </c>
      <c r="B10" s="127" t="s">
        <v>21</v>
      </c>
      <c r="C10" s="129"/>
      <c r="D10" s="129"/>
      <c r="E10" s="139">
        <v>44.2</v>
      </c>
      <c r="F10" s="140">
        <v>45.39</v>
      </c>
      <c r="G10" s="139">
        <v>40.200000000000003</v>
      </c>
      <c r="H10" s="141">
        <v>32.47</v>
      </c>
      <c r="I10" s="139">
        <v>27.05</v>
      </c>
      <c r="J10" s="141">
        <v>35.26</v>
      </c>
      <c r="K10" s="139">
        <v>32.299999999999997</v>
      </c>
      <c r="L10" s="141">
        <v>57.46</v>
      </c>
      <c r="M10" s="139">
        <v>51.6</v>
      </c>
      <c r="N10" s="141">
        <v>33.630000000000003</v>
      </c>
      <c r="O10" s="139">
        <v>27.75</v>
      </c>
      <c r="P10" s="141">
        <v>81.849999999999994</v>
      </c>
      <c r="Q10" s="139">
        <v>71.900000000000006</v>
      </c>
      <c r="R10" s="141">
        <v>83.25</v>
      </c>
      <c r="S10" s="139">
        <v>65.5</v>
      </c>
      <c r="T10" s="141">
        <v>80.599999999999994</v>
      </c>
      <c r="U10" s="143">
        <v>64.7</v>
      </c>
      <c r="V10" s="141">
        <v>87.36</v>
      </c>
      <c r="W10" s="139">
        <v>75.900000000000006</v>
      </c>
      <c r="X10" s="141">
        <v>91.2</v>
      </c>
      <c r="Y10" s="139">
        <v>78</v>
      </c>
      <c r="Z10" s="141">
        <v>77.400000000000006</v>
      </c>
      <c r="AA10" s="139">
        <v>74.2</v>
      </c>
      <c r="AB10" s="141">
        <v>56.3</v>
      </c>
      <c r="AC10" s="139">
        <v>51.7</v>
      </c>
      <c r="AD10" s="141">
        <v>63.8</v>
      </c>
      <c r="AE10" s="128"/>
      <c r="AF10" s="128"/>
      <c r="AG10" s="128"/>
      <c r="AH10" s="128"/>
      <c r="AI10" s="128"/>
      <c r="AJ10" s="128"/>
      <c r="AK10" s="63"/>
      <c r="AL10" s="63"/>
      <c r="AM10" s="128"/>
      <c r="AN10" s="128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</row>
    <row r="11" spans="1:55" ht="17.25" thickBot="1">
      <c r="A11" s="136" t="s">
        <v>175</v>
      </c>
      <c r="B11" s="127" t="s">
        <v>25</v>
      </c>
      <c r="C11" s="129"/>
      <c r="D11" s="129"/>
      <c r="E11" s="147">
        <v>33.1</v>
      </c>
      <c r="F11" s="148">
        <v>34.1</v>
      </c>
      <c r="G11" s="147">
        <v>32.700000000000003</v>
      </c>
      <c r="H11" s="148">
        <v>29.9</v>
      </c>
      <c r="I11" s="147">
        <v>27.5</v>
      </c>
      <c r="J11" s="148">
        <v>31.65</v>
      </c>
      <c r="K11" s="147">
        <v>31.1</v>
      </c>
      <c r="L11" s="148">
        <v>29.8</v>
      </c>
      <c r="M11" s="147">
        <v>28.35</v>
      </c>
      <c r="N11" s="148">
        <v>25.4</v>
      </c>
      <c r="O11" s="147">
        <v>24.65</v>
      </c>
      <c r="P11" s="148">
        <v>39.299999999999997</v>
      </c>
      <c r="Q11" s="147">
        <v>39.200000000000003</v>
      </c>
      <c r="R11" s="148">
        <v>44</v>
      </c>
      <c r="S11" s="147">
        <v>40.700000000000003</v>
      </c>
      <c r="T11" s="148">
        <v>34.65</v>
      </c>
      <c r="U11" s="147">
        <v>31.1</v>
      </c>
      <c r="V11" s="148">
        <v>37.86</v>
      </c>
      <c r="W11" s="147">
        <v>35.1</v>
      </c>
      <c r="X11" s="148">
        <v>44.6</v>
      </c>
      <c r="Y11" s="147">
        <v>43.55</v>
      </c>
      <c r="Z11" s="148">
        <v>52.2</v>
      </c>
      <c r="AA11" s="147">
        <v>50.4</v>
      </c>
      <c r="AB11" s="148">
        <v>48</v>
      </c>
      <c r="AC11" s="147">
        <v>43.55</v>
      </c>
      <c r="AD11" s="148">
        <v>53</v>
      </c>
      <c r="AE11" s="128"/>
      <c r="AF11" s="128"/>
      <c r="AG11" s="128"/>
      <c r="AH11" s="128"/>
      <c r="AI11" s="128"/>
      <c r="AJ11" s="128"/>
      <c r="AK11" s="63"/>
      <c r="AL11" s="63"/>
      <c r="AM11" s="128"/>
      <c r="AN11" s="128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</row>
    <row r="12" spans="1:55" ht="17.25" thickBot="1">
      <c r="A12" s="136" t="s">
        <v>176</v>
      </c>
      <c r="B12" s="127" t="s">
        <v>28</v>
      </c>
      <c r="C12" s="129"/>
      <c r="D12" s="129"/>
      <c r="E12" s="139">
        <v>53.5</v>
      </c>
      <c r="F12" s="140">
        <v>67</v>
      </c>
      <c r="G12" s="139">
        <v>64</v>
      </c>
      <c r="H12" s="141">
        <v>62</v>
      </c>
      <c r="I12" s="139">
        <v>59</v>
      </c>
      <c r="J12" s="141">
        <v>79.19</v>
      </c>
      <c r="K12" s="139">
        <v>76</v>
      </c>
      <c r="L12" s="141">
        <v>69.099999999999994</v>
      </c>
      <c r="M12" s="139">
        <v>66.5</v>
      </c>
      <c r="N12" s="141">
        <v>40.83</v>
      </c>
      <c r="O12" s="139">
        <v>37.5</v>
      </c>
      <c r="P12" s="141">
        <v>59.7</v>
      </c>
      <c r="Q12" s="139">
        <v>59.5</v>
      </c>
      <c r="R12" s="141">
        <v>54.79</v>
      </c>
      <c r="S12" s="139">
        <v>53.1</v>
      </c>
      <c r="T12" s="141">
        <v>33.950000000000003</v>
      </c>
      <c r="U12" s="143">
        <v>31.7</v>
      </c>
      <c r="V12" s="141">
        <v>33.58</v>
      </c>
      <c r="W12" s="139">
        <v>31.7</v>
      </c>
      <c r="X12" s="141">
        <v>52.23</v>
      </c>
      <c r="Y12" s="139">
        <v>49.1</v>
      </c>
      <c r="Z12" s="141">
        <v>50.8</v>
      </c>
      <c r="AA12" s="139">
        <v>46.4</v>
      </c>
      <c r="AB12" s="141">
        <v>48.3</v>
      </c>
      <c r="AC12" s="139">
        <v>42</v>
      </c>
      <c r="AD12" s="141">
        <v>50.2</v>
      </c>
      <c r="AE12" s="128"/>
      <c r="AF12" s="128"/>
      <c r="AG12" s="128"/>
      <c r="AH12" s="128"/>
      <c r="AI12" s="128"/>
      <c r="AJ12" s="128"/>
      <c r="AK12" s="63"/>
      <c r="AL12" s="63"/>
      <c r="AM12" s="128"/>
      <c r="AN12" s="128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</row>
    <row r="13" spans="1:55" ht="17.25" thickBot="1">
      <c r="A13" s="136" t="s">
        <v>177</v>
      </c>
      <c r="B13" s="127" t="s">
        <v>14</v>
      </c>
      <c r="C13" s="129"/>
      <c r="D13" s="129"/>
      <c r="E13" s="139">
        <v>14.45</v>
      </c>
      <c r="F13" s="140">
        <v>17.2</v>
      </c>
      <c r="G13" s="139">
        <v>16.8</v>
      </c>
      <c r="H13" s="141">
        <v>15.96</v>
      </c>
      <c r="I13" s="139">
        <v>14.8</v>
      </c>
      <c r="J13" s="141">
        <v>33.15</v>
      </c>
      <c r="K13" s="139">
        <v>32.700000000000003</v>
      </c>
      <c r="L13" s="141">
        <v>47.13</v>
      </c>
      <c r="M13" s="139">
        <v>42</v>
      </c>
      <c r="N13" s="141">
        <v>32.35</v>
      </c>
      <c r="O13" s="139">
        <v>28.35</v>
      </c>
      <c r="P13" s="141">
        <v>41.63</v>
      </c>
      <c r="Q13" s="139">
        <v>38.9</v>
      </c>
      <c r="R13" s="141">
        <v>48.38</v>
      </c>
      <c r="S13" s="139">
        <v>43.1</v>
      </c>
      <c r="T13" s="141">
        <v>48.31</v>
      </c>
      <c r="U13" s="143">
        <v>43.3</v>
      </c>
      <c r="V13" s="141">
        <v>58.03</v>
      </c>
      <c r="W13" s="139">
        <v>53.9</v>
      </c>
      <c r="X13" s="141">
        <v>58.32</v>
      </c>
      <c r="Y13" s="139">
        <v>54</v>
      </c>
      <c r="Z13" s="141">
        <v>54.71</v>
      </c>
      <c r="AA13" s="139">
        <v>49.55</v>
      </c>
      <c r="AB13" s="141">
        <v>58.5</v>
      </c>
      <c r="AC13" s="139">
        <v>53.9</v>
      </c>
      <c r="AD13" s="141">
        <v>55.4</v>
      </c>
      <c r="AE13" s="128"/>
      <c r="AF13" s="128"/>
      <c r="AG13" s="128"/>
      <c r="AH13" s="128"/>
      <c r="AI13" s="128"/>
      <c r="AJ13" s="128"/>
      <c r="AK13" s="63"/>
      <c r="AL13" s="63"/>
      <c r="AM13" s="128"/>
      <c r="AN13" s="128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</row>
    <row r="14" spans="1:55" ht="17.25" thickBot="1">
      <c r="A14" s="136" t="s">
        <v>178</v>
      </c>
      <c r="B14" s="127" t="s">
        <v>34</v>
      </c>
      <c r="C14" s="129"/>
      <c r="D14" s="129"/>
      <c r="E14" s="139">
        <v>35.9</v>
      </c>
      <c r="F14" s="140">
        <v>25.37</v>
      </c>
      <c r="G14" s="139">
        <v>23.8</v>
      </c>
      <c r="H14" s="144">
        <v>33.21</v>
      </c>
      <c r="I14" s="139">
        <v>28.85</v>
      </c>
      <c r="J14" s="144">
        <v>37</v>
      </c>
      <c r="K14" s="139">
        <v>36.950000000000003</v>
      </c>
      <c r="L14" s="144">
        <v>38.79</v>
      </c>
      <c r="M14" s="139">
        <v>31.3</v>
      </c>
      <c r="N14" s="144">
        <v>13.85</v>
      </c>
      <c r="O14" s="139">
        <v>12.2</v>
      </c>
      <c r="P14" s="144">
        <v>29.35</v>
      </c>
      <c r="Q14" s="139">
        <v>29.2</v>
      </c>
      <c r="R14" s="144">
        <v>37.49</v>
      </c>
      <c r="S14" s="139">
        <v>33</v>
      </c>
      <c r="T14" s="144">
        <v>29.53</v>
      </c>
      <c r="U14" s="143">
        <v>25.5</v>
      </c>
      <c r="V14" s="144">
        <v>29.38</v>
      </c>
      <c r="W14" s="139">
        <v>26.15</v>
      </c>
      <c r="X14" s="144">
        <v>28.75</v>
      </c>
      <c r="Y14" s="139">
        <v>27.7</v>
      </c>
      <c r="Z14" s="144">
        <v>39.39</v>
      </c>
      <c r="AA14" s="139">
        <v>37.799999999999997</v>
      </c>
      <c r="AB14" s="144">
        <v>40</v>
      </c>
      <c r="AC14" s="139">
        <v>36.6</v>
      </c>
      <c r="AD14" s="144">
        <v>34.65</v>
      </c>
      <c r="AE14" s="128"/>
      <c r="AF14" s="128"/>
      <c r="AG14" s="128"/>
      <c r="AH14" s="128"/>
      <c r="AI14" s="128"/>
      <c r="AJ14" s="128"/>
      <c r="AK14" s="63"/>
      <c r="AL14" s="63"/>
      <c r="AM14" s="128"/>
      <c r="AN14" s="128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</row>
    <row r="15" spans="1:55" ht="17.25" thickBot="1">
      <c r="A15" s="136" t="s">
        <v>179</v>
      </c>
      <c r="B15" s="127" t="s">
        <v>180</v>
      </c>
      <c r="C15" s="129"/>
      <c r="D15" s="129"/>
      <c r="E15" s="139">
        <v>57</v>
      </c>
      <c r="F15" s="140">
        <v>71.05</v>
      </c>
      <c r="G15" s="139">
        <v>60</v>
      </c>
      <c r="H15" s="141">
        <v>59.79</v>
      </c>
      <c r="I15" s="139">
        <v>52.6</v>
      </c>
      <c r="J15" s="141">
        <v>59.3</v>
      </c>
      <c r="K15" s="139">
        <v>55.2</v>
      </c>
      <c r="L15" s="141">
        <v>90</v>
      </c>
      <c r="M15" s="139">
        <v>81.5</v>
      </c>
      <c r="N15" s="141">
        <v>42.1</v>
      </c>
      <c r="O15" s="139">
        <v>40.1</v>
      </c>
      <c r="P15" s="141">
        <v>73.900000000000006</v>
      </c>
      <c r="Q15" s="139">
        <v>68.900000000000006</v>
      </c>
      <c r="R15" s="141">
        <v>105.7</v>
      </c>
      <c r="S15" s="139">
        <v>97.7</v>
      </c>
      <c r="T15" s="146">
        <v>83.9</v>
      </c>
      <c r="U15" s="143">
        <v>78.599999999999994</v>
      </c>
      <c r="V15" s="146">
        <v>77.900000000000006</v>
      </c>
      <c r="W15" s="139">
        <v>75.400000000000006</v>
      </c>
      <c r="X15" s="146">
        <v>86.5</v>
      </c>
      <c r="Y15" s="139">
        <v>83.1</v>
      </c>
      <c r="Z15" s="146">
        <v>68.099999999999994</v>
      </c>
      <c r="AA15" s="139">
        <v>66</v>
      </c>
      <c r="AB15" s="146">
        <v>77.5</v>
      </c>
      <c r="AC15" s="139">
        <v>68.2</v>
      </c>
      <c r="AD15" s="141">
        <v>101.9</v>
      </c>
      <c r="AE15" s="128"/>
      <c r="AF15" s="128"/>
      <c r="AG15" s="128"/>
      <c r="AH15" s="128"/>
      <c r="AI15" s="128"/>
      <c r="AJ15" s="128"/>
      <c r="AK15" s="65"/>
      <c r="AL15" s="65"/>
      <c r="AM15" s="128"/>
      <c r="AN15" s="128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</row>
    <row r="16" spans="1:55" ht="17.25" thickBot="1">
      <c r="A16" s="136" t="s">
        <v>181</v>
      </c>
      <c r="B16" s="127" t="s">
        <v>18</v>
      </c>
      <c r="C16" s="129"/>
      <c r="D16" s="129"/>
      <c r="E16" s="139">
        <v>49.7</v>
      </c>
      <c r="F16" s="140">
        <v>53.32</v>
      </c>
      <c r="G16" s="139">
        <v>48.7</v>
      </c>
      <c r="H16" s="141">
        <v>51.51</v>
      </c>
      <c r="I16" s="139">
        <v>44.6</v>
      </c>
      <c r="J16" s="141">
        <v>59.63</v>
      </c>
      <c r="K16" s="139">
        <v>55.2</v>
      </c>
      <c r="L16" s="141">
        <v>91</v>
      </c>
      <c r="M16" s="139">
        <v>83.4</v>
      </c>
      <c r="N16" s="141">
        <v>42</v>
      </c>
      <c r="O16" s="139">
        <v>35.299999999999997</v>
      </c>
      <c r="P16" s="141">
        <v>60.85</v>
      </c>
      <c r="Q16" s="139">
        <v>57.6</v>
      </c>
      <c r="R16" s="141">
        <v>74.599999999999994</v>
      </c>
      <c r="S16" s="139">
        <v>72.599999999999994</v>
      </c>
      <c r="T16" s="141">
        <v>64.8</v>
      </c>
      <c r="U16" s="143">
        <v>60</v>
      </c>
      <c r="V16" s="141">
        <v>58.1</v>
      </c>
      <c r="W16" s="139">
        <v>56.6</v>
      </c>
      <c r="X16" s="141">
        <v>69.89</v>
      </c>
      <c r="Y16" s="139">
        <v>68.2</v>
      </c>
      <c r="Z16" s="141">
        <v>67.400000000000006</v>
      </c>
      <c r="AA16" s="139">
        <v>63.9</v>
      </c>
      <c r="AB16" s="141">
        <v>63.3</v>
      </c>
      <c r="AC16" s="139">
        <v>57.4</v>
      </c>
      <c r="AD16" s="141">
        <v>74.5</v>
      </c>
      <c r="AE16" s="128"/>
      <c r="AF16" s="128"/>
      <c r="AG16" s="128"/>
      <c r="AH16" s="128"/>
      <c r="AI16" s="128"/>
      <c r="AJ16" s="128"/>
      <c r="AK16" s="65"/>
      <c r="AL16" s="65"/>
      <c r="AM16" s="128"/>
      <c r="AN16" s="128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</row>
    <row r="17" spans="1:55" ht="17.25" thickBot="1">
      <c r="A17" s="136" t="s">
        <v>182</v>
      </c>
      <c r="B17" s="127" t="s">
        <v>46</v>
      </c>
      <c r="C17" s="129"/>
      <c r="D17" s="129"/>
      <c r="E17" s="139">
        <v>54</v>
      </c>
      <c r="F17" s="140">
        <v>57.006</v>
      </c>
      <c r="G17" s="139">
        <v>51</v>
      </c>
      <c r="H17" s="141">
        <v>71.8</v>
      </c>
      <c r="I17" s="139">
        <v>67.900000000000006</v>
      </c>
      <c r="J17" s="141">
        <v>82.100000000000009</v>
      </c>
      <c r="K17" s="139">
        <v>78.7</v>
      </c>
      <c r="L17" s="141">
        <v>88.7</v>
      </c>
      <c r="M17" s="139">
        <v>83.8</v>
      </c>
      <c r="N17" s="141">
        <v>81.600000000000009</v>
      </c>
      <c r="O17" s="139">
        <v>79</v>
      </c>
      <c r="P17" s="141">
        <v>88.489599999999996</v>
      </c>
      <c r="Q17" s="139">
        <v>76</v>
      </c>
      <c r="R17" s="141">
        <v>138.1</v>
      </c>
      <c r="S17" s="139">
        <v>135</v>
      </c>
      <c r="T17" s="141">
        <v>169.9</v>
      </c>
      <c r="U17" s="143">
        <v>167</v>
      </c>
      <c r="V17" s="141">
        <v>160.30000000000001</v>
      </c>
      <c r="W17" s="139">
        <v>155.5</v>
      </c>
      <c r="X17" s="141">
        <v>211.35</v>
      </c>
      <c r="Y17" s="139">
        <v>206.5</v>
      </c>
      <c r="Z17" s="141">
        <v>250.5</v>
      </c>
      <c r="AA17" s="139">
        <v>239.5</v>
      </c>
      <c r="AB17" s="141">
        <v>212.5</v>
      </c>
      <c r="AC17" s="139">
        <v>200</v>
      </c>
      <c r="AD17" s="141">
        <v>238.2</v>
      </c>
      <c r="AE17" s="128"/>
      <c r="AF17" s="128"/>
      <c r="AG17" s="128"/>
      <c r="AH17" s="128"/>
      <c r="AI17" s="128"/>
      <c r="AJ17" s="128"/>
      <c r="AK17" s="63"/>
      <c r="AL17" s="63"/>
      <c r="AM17" s="128"/>
      <c r="AN17" s="128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</row>
    <row r="18" spans="1:55" ht="17.25" thickBot="1">
      <c r="A18" s="137" t="s">
        <v>183</v>
      </c>
      <c r="B18" s="138" t="s">
        <v>48</v>
      </c>
      <c r="C18" s="129"/>
      <c r="D18" s="129"/>
      <c r="E18" s="139">
        <v>21.3</v>
      </c>
      <c r="F18" s="140">
        <v>23.44</v>
      </c>
      <c r="G18" s="139">
        <v>21.8</v>
      </c>
      <c r="H18" s="141">
        <v>22.88</v>
      </c>
      <c r="I18" s="139">
        <v>21.1</v>
      </c>
      <c r="J18" s="141">
        <v>25.5</v>
      </c>
      <c r="K18" s="139">
        <v>24.35</v>
      </c>
      <c r="L18" s="141">
        <v>21.45</v>
      </c>
      <c r="M18" s="139">
        <v>19.600000000000001</v>
      </c>
      <c r="N18" s="141">
        <v>12.7</v>
      </c>
      <c r="O18" s="139">
        <v>11.6</v>
      </c>
      <c r="P18" s="141">
        <v>18.75</v>
      </c>
      <c r="Q18" s="139">
        <v>18.600000000000001</v>
      </c>
      <c r="R18" s="141">
        <v>23.45</v>
      </c>
      <c r="S18" s="139">
        <v>22.85</v>
      </c>
      <c r="T18" s="141">
        <v>21.5</v>
      </c>
      <c r="U18" s="143">
        <v>19.45</v>
      </c>
      <c r="V18" s="141">
        <v>23.79</v>
      </c>
      <c r="W18" s="139">
        <v>22.9</v>
      </c>
      <c r="X18" s="141">
        <v>26.2</v>
      </c>
      <c r="Y18" s="139">
        <v>25.25</v>
      </c>
      <c r="Z18" s="141">
        <v>25.56</v>
      </c>
      <c r="AA18" s="139">
        <v>24.1</v>
      </c>
      <c r="AB18" s="141">
        <v>22.65</v>
      </c>
      <c r="AC18" s="139">
        <v>21</v>
      </c>
      <c r="AD18" s="141">
        <v>24.5</v>
      </c>
      <c r="AE18" s="128"/>
      <c r="AF18" s="128"/>
      <c r="AG18" s="128"/>
      <c r="AH18" s="128"/>
      <c r="AI18" s="128"/>
      <c r="AJ18" s="128"/>
      <c r="AK18" s="65"/>
      <c r="AL18" s="65"/>
      <c r="AM18" s="128"/>
      <c r="AN18" s="128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</row>
    <row r="19" spans="1:55" ht="17.25" thickBot="1">
      <c r="A19" s="136" t="s">
        <v>184</v>
      </c>
      <c r="B19" s="127" t="s">
        <v>50</v>
      </c>
      <c r="C19" s="129"/>
      <c r="D19" s="129"/>
      <c r="E19" s="139">
        <v>25.3</v>
      </c>
      <c r="F19" s="140">
        <v>27.2</v>
      </c>
      <c r="G19" s="139">
        <v>27.3</v>
      </c>
      <c r="H19" s="141">
        <v>25.43</v>
      </c>
      <c r="I19" s="139">
        <v>22.95</v>
      </c>
      <c r="J19" s="141">
        <v>26.62</v>
      </c>
      <c r="K19" s="139">
        <v>25.2</v>
      </c>
      <c r="L19" s="141">
        <v>25.43</v>
      </c>
      <c r="M19" s="139">
        <v>23.45</v>
      </c>
      <c r="N19" s="141">
        <v>19.16</v>
      </c>
      <c r="O19" s="139">
        <v>17.7</v>
      </c>
      <c r="P19" s="141">
        <v>20.85</v>
      </c>
      <c r="Q19" s="139">
        <v>19.75</v>
      </c>
      <c r="R19" s="141">
        <v>28.02</v>
      </c>
      <c r="S19" s="139">
        <v>27.25</v>
      </c>
      <c r="T19" s="141">
        <v>19.12</v>
      </c>
      <c r="U19" s="143">
        <v>17.149999999999999</v>
      </c>
      <c r="V19" s="141">
        <v>19.16</v>
      </c>
      <c r="W19" s="139">
        <v>17.95</v>
      </c>
      <c r="X19" s="141">
        <v>20.21</v>
      </c>
      <c r="Y19" s="139">
        <v>18.5</v>
      </c>
      <c r="Z19" s="141">
        <v>20.46</v>
      </c>
      <c r="AA19" s="139">
        <v>18.600000000000001</v>
      </c>
      <c r="AB19" s="141">
        <v>16.989999999999998</v>
      </c>
      <c r="AC19" s="139">
        <v>15</v>
      </c>
      <c r="AD19" s="141">
        <v>18.920000000000002</v>
      </c>
      <c r="AE19" s="128"/>
      <c r="AF19" s="128"/>
      <c r="AG19" s="128"/>
      <c r="AH19" s="128"/>
      <c r="AI19" s="128"/>
      <c r="AJ19" s="128"/>
      <c r="AK19" s="65"/>
      <c r="AL19" s="65"/>
      <c r="AM19" s="128"/>
      <c r="AN19" s="128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</row>
    <row r="20" spans="1:55" ht="17.25" thickBot="1">
      <c r="A20" s="136" t="s">
        <v>185</v>
      </c>
      <c r="B20" s="127" t="s">
        <v>186</v>
      </c>
      <c r="C20" s="129"/>
      <c r="D20" s="129"/>
      <c r="E20" s="139">
        <v>54</v>
      </c>
      <c r="F20" s="140">
        <v>62.75</v>
      </c>
      <c r="G20" s="139">
        <v>59</v>
      </c>
      <c r="H20" s="141">
        <v>65.302000000000007</v>
      </c>
      <c r="I20" s="139">
        <v>58.7</v>
      </c>
      <c r="J20" s="141">
        <v>78.447999999999993</v>
      </c>
      <c r="K20" s="139">
        <v>73.400000000000006</v>
      </c>
      <c r="L20" s="141">
        <v>101.4</v>
      </c>
      <c r="M20" s="139">
        <v>93.9</v>
      </c>
      <c r="N20" s="141">
        <v>74.5</v>
      </c>
      <c r="O20" s="139">
        <v>68.2</v>
      </c>
      <c r="P20" s="141">
        <v>86.072000000000003</v>
      </c>
      <c r="Q20" s="139">
        <v>82.4</v>
      </c>
      <c r="R20" s="141">
        <v>102.7</v>
      </c>
      <c r="S20" s="139">
        <v>98.4</v>
      </c>
      <c r="T20" s="141">
        <v>97.7</v>
      </c>
      <c r="U20" s="143">
        <v>90.7</v>
      </c>
      <c r="V20" s="141">
        <v>88</v>
      </c>
      <c r="W20" s="139">
        <v>88</v>
      </c>
      <c r="X20" s="141">
        <v>82.06</v>
      </c>
      <c r="Y20" s="139">
        <v>81.099999999999994</v>
      </c>
      <c r="Z20" s="141">
        <v>71.2</v>
      </c>
      <c r="AA20" s="139">
        <v>67.400000000000006</v>
      </c>
      <c r="AB20" s="141">
        <v>79.649999999999991</v>
      </c>
      <c r="AC20" s="139">
        <v>76.900000000000006</v>
      </c>
      <c r="AD20" s="141">
        <v>116</v>
      </c>
      <c r="AE20" s="128"/>
      <c r="AF20" s="128"/>
      <c r="AG20" s="128"/>
      <c r="AH20" s="128"/>
      <c r="AI20" s="128"/>
      <c r="AJ20" s="128"/>
      <c r="AK20" s="65"/>
      <c r="AL20" s="65"/>
      <c r="AM20" s="128"/>
      <c r="AN20" s="128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</row>
    <row r="21" spans="1:55" ht="17.25" thickBot="1">
      <c r="A21" s="136" t="s">
        <v>187</v>
      </c>
      <c r="B21" s="127" t="s">
        <v>54</v>
      </c>
      <c r="C21" s="129"/>
      <c r="D21" s="129"/>
      <c r="E21" s="139">
        <v>0</v>
      </c>
      <c r="F21" s="140">
        <v>0</v>
      </c>
      <c r="G21" s="139">
        <v>0</v>
      </c>
      <c r="H21" s="141">
        <v>0</v>
      </c>
      <c r="I21" s="139">
        <v>36.9</v>
      </c>
      <c r="J21" s="141">
        <v>40.049999999999997</v>
      </c>
      <c r="K21" s="139">
        <v>36.9</v>
      </c>
      <c r="L21" s="141">
        <v>44.1</v>
      </c>
      <c r="M21" s="139">
        <v>50.12</v>
      </c>
      <c r="N21" s="141">
        <v>42.32</v>
      </c>
      <c r="O21" s="139">
        <v>37.25</v>
      </c>
      <c r="P21" s="141">
        <v>40.950000000000003</v>
      </c>
      <c r="Q21" s="139">
        <v>38.1</v>
      </c>
      <c r="R21" s="141">
        <v>45.1</v>
      </c>
      <c r="S21" s="139">
        <v>42.1</v>
      </c>
      <c r="T21" s="141">
        <v>59.4</v>
      </c>
      <c r="U21" s="143">
        <v>56.8</v>
      </c>
      <c r="V21" s="141">
        <v>77.099999999999994</v>
      </c>
      <c r="W21" s="139">
        <v>74</v>
      </c>
      <c r="X21" s="141">
        <v>69</v>
      </c>
      <c r="Y21" s="139">
        <v>64.900000000000006</v>
      </c>
      <c r="Z21" s="141">
        <v>76.75</v>
      </c>
      <c r="AA21" s="139">
        <v>70.599999999999994</v>
      </c>
      <c r="AB21" s="141">
        <v>71.349999999999994</v>
      </c>
      <c r="AC21" s="139">
        <v>66.2</v>
      </c>
      <c r="AD21" s="141">
        <v>76.25</v>
      </c>
      <c r="AE21" s="128"/>
      <c r="AF21" s="128"/>
      <c r="AG21" s="128"/>
      <c r="AH21" s="128"/>
      <c r="AI21" s="128"/>
      <c r="AJ21" s="128"/>
      <c r="AK21" s="65"/>
      <c r="AL21" s="65"/>
      <c r="AM21" s="65"/>
      <c r="AN21" s="65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</row>
    <row r="22" spans="1:55">
      <c r="A22" s="19"/>
    </row>
    <row r="23" spans="1:55">
      <c r="A23" s="19"/>
    </row>
    <row r="24" spans="1:55">
      <c r="A24" s="19"/>
    </row>
    <row r="25" spans="1:55">
      <c r="A25" s="19"/>
    </row>
    <row r="26" spans="1:55">
      <c r="A26" s="19"/>
    </row>
    <row r="27" spans="1:55">
      <c r="A27" s="19"/>
    </row>
    <row r="28" spans="1:55">
      <c r="A28" s="19"/>
    </row>
    <row r="29" spans="1:55">
      <c r="A29" s="19"/>
    </row>
    <row r="30" spans="1:55">
      <c r="A30" s="19"/>
    </row>
    <row r="31" spans="1:55">
      <c r="A31" s="19"/>
    </row>
    <row r="32" spans="1:55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  <row r="45" spans="1:1">
      <c r="A45" s="19"/>
    </row>
    <row r="46" spans="1:1">
      <c r="A46" s="19"/>
    </row>
    <row r="47" spans="1:1">
      <c r="A47" s="19"/>
    </row>
    <row r="48" spans="1:1">
      <c r="A48" s="19"/>
    </row>
    <row r="49" spans="1:1">
      <c r="A49" s="19"/>
    </row>
  </sheetData>
  <sheetProtection password="CC39" sheet="1" formatCells="0" formatColumns="0" formatRows="0"/>
  <phoneticPr fontId="1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1:AX48"/>
  <sheetViews>
    <sheetView workbookViewId="0" xr3:uid="{F9CF3CF3-643B-5BE6-8B46-32C596A47465}">
      <pane xSplit="2" ySplit="1" topLeftCell="C2" activePane="bottomRight" state="frozen"/>
      <selection pane="bottomRight" activeCell="A26" sqref="A26"/>
      <selection pane="bottomLeft" activeCell="A2" sqref="A2"/>
      <selection pane="topRight" activeCell="C1" sqref="C1"/>
    </sheetView>
  </sheetViews>
  <sheetFormatPr defaultRowHeight="16.5"/>
  <cols>
    <col min="1" max="1" width="5.75" style="21" customWidth="1"/>
    <col min="2" max="2" width="6.875" style="20" customWidth="1"/>
    <col min="3" max="3" width="6.625" customWidth="1"/>
    <col min="5" max="12" width="9.125" bestFit="1" customWidth="1"/>
    <col min="13" max="15" width="9" bestFit="1" customWidth="1"/>
    <col min="16" max="16" width="9.125" bestFit="1" customWidth="1"/>
    <col min="17" max="17" width="9" bestFit="1" customWidth="1"/>
    <col min="18" max="18" width="9.125" bestFit="1" customWidth="1"/>
    <col min="19" max="19" width="9" bestFit="1" customWidth="1"/>
    <col min="20" max="20" width="9.125" bestFit="1" customWidth="1"/>
    <col min="21" max="21" width="9" bestFit="1" customWidth="1"/>
    <col min="22" max="24" width="9.125" bestFit="1" customWidth="1"/>
    <col min="25" max="26" width="9" bestFit="1" customWidth="1"/>
    <col min="27" max="30" width="9.125" bestFit="1" customWidth="1"/>
  </cols>
  <sheetData>
    <row r="1" spans="1:50" s="4" customFormat="1" ht="36" customHeight="1" thickBot="1">
      <c r="A1" s="16" t="s">
        <v>144</v>
      </c>
      <c r="B1" s="22" t="s">
        <v>145</v>
      </c>
      <c r="C1" s="69" t="s">
        <v>188</v>
      </c>
      <c r="D1" s="66" t="s">
        <v>146</v>
      </c>
      <c r="E1" s="66" t="s">
        <v>147</v>
      </c>
      <c r="F1" s="61" t="s">
        <v>148</v>
      </c>
      <c r="G1" s="66" t="s">
        <v>149</v>
      </c>
      <c r="H1" s="66" t="s">
        <v>148</v>
      </c>
      <c r="I1" s="66" t="s">
        <v>150</v>
      </c>
      <c r="J1" s="66" t="s">
        <v>148</v>
      </c>
      <c r="K1" s="67" t="s">
        <v>189</v>
      </c>
      <c r="L1" s="66" t="s">
        <v>148</v>
      </c>
      <c r="M1" s="67" t="s">
        <v>190</v>
      </c>
      <c r="N1" s="66" t="s">
        <v>148</v>
      </c>
      <c r="O1" s="66" t="s">
        <v>153</v>
      </c>
      <c r="P1" s="66" t="s">
        <v>148</v>
      </c>
      <c r="Q1" s="67" t="s">
        <v>191</v>
      </c>
      <c r="R1" s="66" t="s">
        <v>148</v>
      </c>
      <c r="S1" s="67" t="s">
        <v>192</v>
      </c>
      <c r="T1" s="66" t="s">
        <v>148</v>
      </c>
      <c r="U1" s="66" t="s">
        <v>156</v>
      </c>
      <c r="V1" s="66" t="s">
        <v>148</v>
      </c>
      <c r="W1" s="67" t="s">
        <v>193</v>
      </c>
      <c r="X1" s="66" t="s">
        <v>148</v>
      </c>
      <c r="Y1" s="68" t="s">
        <v>158</v>
      </c>
      <c r="Z1" s="68" t="s">
        <v>148</v>
      </c>
      <c r="AA1" s="67" t="s">
        <v>194</v>
      </c>
      <c r="AB1" s="66" t="s">
        <v>148</v>
      </c>
      <c r="AC1" s="67" t="s">
        <v>195</v>
      </c>
      <c r="AD1" s="66" t="s">
        <v>148</v>
      </c>
      <c r="AE1" s="66" t="s">
        <v>161</v>
      </c>
      <c r="AF1" s="66" t="s">
        <v>146</v>
      </c>
      <c r="AG1" s="61" t="s">
        <v>162</v>
      </c>
      <c r="AH1" s="61" t="s">
        <v>146</v>
      </c>
      <c r="AI1" s="61" t="s">
        <v>163</v>
      </c>
      <c r="AJ1" s="61" t="s">
        <v>146</v>
      </c>
      <c r="AK1" s="61" t="s">
        <v>164</v>
      </c>
      <c r="AL1" s="61" t="s">
        <v>146</v>
      </c>
      <c r="AM1" s="61" t="s">
        <v>165</v>
      </c>
      <c r="AN1" s="61" t="s">
        <v>146</v>
      </c>
      <c r="AO1" s="62"/>
      <c r="AP1" s="62"/>
      <c r="AQ1" s="62"/>
      <c r="AR1" s="62"/>
      <c r="AS1" s="62"/>
      <c r="AT1" s="62"/>
      <c r="AU1" s="62"/>
      <c r="AV1" s="62"/>
      <c r="AW1" s="62"/>
      <c r="AX1" s="62"/>
    </row>
    <row r="2" spans="1:50" ht="17.25" thickBot="1">
      <c r="A2" s="18" t="s">
        <v>166</v>
      </c>
      <c r="B2" s="131" t="s">
        <v>31</v>
      </c>
      <c r="C2" s="130"/>
      <c r="D2" s="130"/>
      <c r="E2" s="139">
        <v>44.6</v>
      </c>
      <c r="F2" s="140">
        <v>61.05</v>
      </c>
      <c r="G2" s="139">
        <v>55</v>
      </c>
      <c r="H2" s="141">
        <v>72.94</v>
      </c>
      <c r="I2" s="139">
        <v>65.599999999999994</v>
      </c>
      <c r="J2" s="140">
        <v>113.25</v>
      </c>
      <c r="K2" s="139">
        <v>105.5</v>
      </c>
      <c r="L2" s="141">
        <v>121.05</v>
      </c>
      <c r="M2" s="139">
        <v>74.7</v>
      </c>
      <c r="N2" s="140">
        <v>70.27</v>
      </c>
      <c r="O2" s="139">
        <v>66.900000000000006</v>
      </c>
      <c r="P2" s="141">
        <v>105.5</v>
      </c>
      <c r="Q2" s="139">
        <v>92</v>
      </c>
      <c r="R2" s="140">
        <v>146.69999999999999</v>
      </c>
      <c r="S2" s="139">
        <v>89</v>
      </c>
      <c r="T2" s="141">
        <v>72</v>
      </c>
      <c r="U2" s="143">
        <v>71.5</v>
      </c>
      <c r="V2" s="141">
        <v>109.99</v>
      </c>
      <c r="W2" s="139">
        <v>106</v>
      </c>
      <c r="X2" s="141">
        <v>175.29</v>
      </c>
      <c r="Y2" s="139">
        <v>0</v>
      </c>
      <c r="Z2" s="141">
        <v>0</v>
      </c>
      <c r="AA2" s="139">
        <v>140</v>
      </c>
      <c r="AB2" s="141">
        <v>155.5</v>
      </c>
      <c r="AC2" s="139">
        <v>130.5</v>
      </c>
      <c r="AD2" s="141">
        <v>164.5</v>
      </c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33"/>
      <c r="AP2" s="64"/>
      <c r="AQ2" s="64"/>
      <c r="AR2" s="64"/>
      <c r="AS2" s="64"/>
      <c r="AT2" s="64"/>
      <c r="AU2" s="64"/>
      <c r="AV2" s="64"/>
      <c r="AW2" s="64"/>
      <c r="AX2" s="64"/>
    </row>
    <row r="3" spans="1:50" ht="17.25" thickBot="1">
      <c r="A3" s="18" t="s">
        <v>167</v>
      </c>
      <c r="B3" s="131" t="s">
        <v>35</v>
      </c>
      <c r="C3" s="130"/>
      <c r="D3" s="130"/>
      <c r="E3" s="139">
        <v>136.5</v>
      </c>
      <c r="F3" s="140">
        <v>171.05</v>
      </c>
      <c r="G3" s="139">
        <v>145.5</v>
      </c>
      <c r="H3" s="141">
        <v>217.73</v>
      </c>
      <c r="I3" s="139">
        <v>181.5</v>
      </c>
      <c r="J3" s="141">
        <v>282</v>
      </c>
      <c r="K3" s="139">
        <v>234</v>
      </c>
      <c r="L3" s="141">
        <v>245.4</v>
      </c>
      <c r="M3" s="139">
        <v>159.5</v>
      </c>
      <c r="N3" s="141">
        <v>76.83</v>
      </c>
      <c r="O3" s="139">
        <v>68.599999999999994</v>
      </c>
      <c r="P3" s="141">
        <v>175.33</v>
      </c>
      <c r="Q3" s="139">
        <v>136.5</v>
      </c>
      <c r="R3" s="140">
        <v>133.6</v>
      </c>
      <c r="S3" s="139">
        <v>71.2</v>
      </c>
      <c r="T3" s="141">
        <v>82.9</v>
      </c>
      <c r="U3" s="143">
        <v>81.400000000000006</v>
      </c>
      <c r="V3" s="141">
        <v>99.29</v>
      </c>
      <c r="W3" s="139">
        <v>84</v>
      </c>
      <c r="X3" s="141">
        <v>89.61</v>
      </c>
      <c r="Y3" s="139">
        <v>0</v>
      </c>
      <c r="Z3" s="141">
        <v>0</v>
      </c>
      <c r="AA3" s="139">
        <v>81.599999999999994</v>
      </c>
      <c r="AB3" s="141">
        <v>88.64</v>
      </c>
      <c r="AC3" s="139">
        <v>73.099999999999994</v>
      </c>
      <c r="AD3" s="141">
        <v>96.62</v>
      </c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33"/>
      <c r="AP3" s="64"/>
      <c r="AQ3" s="64"/>
      <c r="AR3" s="64"/>
      <c r="AS3" s="64"/>
      <c r="AT3" s="64"/>
      <c r="AU3" s="64"/>
      <c r="AV3" s="64"/>
      <c r="AW3" s="64"/>
      <c r="AX3" s="64"/>
    </row>
    <row r="4" spans="1:50" ht="17.25" thickBot="1">
      <c r="A4" s="18" t="s">
        <v>168</v>
      </c>
      <c r="B4" s="131" t="s">
        <v>39</v>
      </c>
      <c r="C4" s="130"/>
      <c r="D4" s="130"/>
      <c r="E4" s="139">
        <v>37</v>
      </c>
      <c r="F4" s="140">
        <v>29.17</v>
      </c>
      <c r="G4" s="139">
        <v>26.3</v>
      </c>
      <c r="H4" s="144">
        <v>50.48</v>
      </c>
      <c r="I4" s="139">
        <v>43.4</v>
      </c>
      <c r="J4" s="140">
        <v>57.78</v>
      </c>
      <c r="K4" s="139">
        <v>48.8</v>
      </c>
      <c r="L4" s="144">
        <v>62.82</v>
      </c>
      <c r="M4" s="139">
        <v>41.55</v>
      </c>
      <c r="N4" s="140">
        <v>32.78</v>
      </c>
      <c r="O4" s="139">
        <v>29.95</v>
      </c>
      <c r="P4" s="144">
        <v>45.15</v>
      </c>
      <c r="Q4" s="139">
        <v>41.65</v>
      </c>
      <c r="R4" s="140">
        <v>37.58</v>
      </c>
      <c r="S4" s="139">
        <v>24.4</v>
      </c>
      <c r="T4" s="144">
        <v>28.72</v>
      </c>
      <c r="U4" s="143">
        <v>26.8</v>
      </c>
      <c r="V4" s="144">
        <v>32.42</v>
      </c>
      <c r="W4" s="139">
        <v>30.65</v>
      </c>
      <c r="X4" s="144">
        <v>37.25</v>
      </c>
      <c r="Y4" s="139">
        <v>0</v>
      </c>
      <c r="Z4" s="141">
        <v>0</v>
      </c>
      <c r="AA4" s="139">
        <v>36.85</v>
      </c>
      <c r="AB4" s="144">
        <v>53.3</v>
      </c>
      <c r="AC4" s="139">
        <v>52.4</v>
      </c>
      <c r="AD4" s="144">
        <v>51.65</v>
      </c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33"/>
      <c r="AP4" s="64"/>
      <c r="AQ4" s="64"/>
      <c r="AR4" s="64"/>
      <c r="AS4" s="64"/>
      <c r="AT4" s="64"/>
      <c r="AU4" s="64"/>
      <c r="AV4" s="64"/>
      <c r="AW4" s="64"/>
      <c r="AX4" s="64"/>
    </row>
    <row r="5" spans="1:50" ht="17.25" thickBot="1">
      <c r="A5" s="18" t="s">
        <v>169</v>
      </c>
      <c r="B5" s="5" t="s">
        <v>37</v>
      </c>
      <c r="C5" s="130"/>
      <c r="D5" s="130"/>
      <c r="E5" s="139">
        <v>65.5</v>
      </c>
      <c r="F5" s="140">
        <v>58.22</v>
      </c>
      <c r="G5" s="139">
        <v>51</v>
      </c>
      <c r="H5" s="141">
        <v>67.63</v>
      </c>
      <c r="I5" s="139">
        <v>61</v>
      </c>
      <c r="J5" s="140">
        <v>72.03</v>
      </c>
      <c r="K5" s="139">
        <v>64.2</v>
      </c>
      <c r="L5" s="141">
        <v>65.31</v>
      </c>
      <c r="M5" s="139">
        <v>49.6</v>
      </c>
      <c r="N5" s="140">
        <v>47.65</v>
      </c>
      <c r="O5" s="139">
        <v>46.25</v>
      </c>
      <c r="P5" s="141">
        <v>67.819999999999993</v>
      </c>
      <c r="Q5" s="139">
        <v>60.1</v>
      </c>
      <c r="R5" s="140">
        <v>74</v>
      </c>
      <c r="S5" s="139">
        <v>65.2</v>
      </c>
      <c r="T5" s="141">
        <v>75.8</v>
      </c>
      <c r="U5" s="143">
        <v>75</v>
      </c>
      <c r="V5" s="141">
        <v>100</v>
      </c>
      <c r="W5" s="139">
        <v>99.2</v>
      </c>
      <c r="X5" s="141">
        <v>108.5</v>
      </c>
      <c r="Y5" s="139">
        <v>0</v>
      </c>
      <c r="Z5" s="141">
        <v>0</v>
      </c>
      <c r="AA5" s="139">
        <v>115</v>
      </c>
      <c r="AB5" s="141">
        <v>143</v>
      </c>
      <c r="AC5" s="139">
        <v>134.5</v>
      </c>
      <c r="AD5" s="141">
        <v>187.5</v>
      </c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33"/>
      <c r="AP5" s="64"/>
      <c r="AQ5" s="64"/>
      <c r="AR5" s="64"/>
      <c r="AS5" s="64"/>
      <c r="AT5" s="64"/>
      <c r="AU5" s="64"/>
      <c r="AV5" s="64"/>
      <c r="AW5" s="64"/>
      <c r="AX5" s="64"/>
    </row>
    <row r="6" spans="1:50" ht="17.25" thickBot="1">
      <c r="A6" s="18" t="s">
        <v>170</v>
      </c>
      <c r="B6" s="5" t="s">
        <v>41</v>
      </c>
      <c r="C6" s="130"/>
      <c r="D6" s="130"/>
      <c r="E6" s="139">
        <v>83.5</v>
      </c>
      <c r="F6" s="144">
        <v>64.709999999999994</v>
      </c>
      <c r="G6" s="139">
        <v>56</v>
      </c>
      <c r="H6" s="144">
        <v>50.91</v>
      </c>
      <c r="I6" s="139">
        <v>46.3</v>
      </c>
      <c r="J6" s="144">
        <v>62.77</v>
      </c>
      <c r="K6" s="139">
        <v>57.2</v>
      </c>
      <c r="L6" s="144">
        <v>49.47</v>
      </c>
      <c r="M6" s="139">
        <v>38.299999999999997</v>
      </c>
      <c r="N6" s="144">
        <v>39.14</v>
      </c>
      <c r="O6" s="139">
        <v>35.299999999999997</v>
      </c>
      <c r="P6" s="144">
        <v>73.8</v>
      </c>
      <c r="Q6" s="139">
        <v>64.2</v>
      </c>
      <c r="R6" s="144">
        <v>64.88</v>
      </c>
      <c r="S6" s="139">
        <v>59.5</v>
      </c>
      <c r="T6" s="144">
        <v>63.7</v>
      </c>
      <c r="U6" s="139">
        <v>63.1</v>
      </c>
      <c r="V6" s="144">
        <v>72.3</v>
      </c>
      <c r="W6" s="139">
        <v>64.3</v>
      </c>
      <c r="X6" s="144">
        <v>73.5</v>
      </c>
      <c r="Y6" s="139">
        <v>0</v>
      </c>
      <c r="Z6" s="141">
        <v>0</v>
      </c>
      <c r="AA6" s="139">
        <v>53.6</v>
      </c>
      <c r="AB6" s="144">
        <v>53</v>
      </c>
      <c r="AC6" s="139">
        <v>48.55</v>
      </c>
      <c r="AD6" s="144">
        <v>64.099999999999994</v>
      </c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33"/>
      <c r="AP6" s="64"/>
      <c r="AQ6" s="64"/>
      <c r="AR6" s="64"/>
      <c r="AS6" s="64"/>
      <c r="AT6" s="64"/>
      <c r="AU6" s="64"/>
      <c r="AV6" s="64"/>
      <c r="AW6" s="64"/>
      <c r="AX6" s="64"/>
    </row>
    <row r="7" spans="1:50" s="23" customFormat="1" ht="17.25" thickBot="1">
      <c r="A7" s="24" t="s">
        <v>171</v>
      </c>
      <c r="B7" s="25" t="s">
        <v>43</v>
      </c>
      <c r="C7" s="230"/>
      <c r="D7" s="230"/>
      <c r="E7" s="139">
        <v>50.5</v>
      </c>
      <c r="F7" s="146">
        <v>67</v>
      </c>
      <c r="G7" s="139">
        <v>62.5</v>
      </c>
      <c r="H7" s="141">
        <v>61.5</v>
      </c>
      <c r="I7" s="139">
        <v>56.6</v>
      </c>
      <c r="J7" s="140">
        <v>66.11</v>
      </c>
      <c r="K7" s="139">
        <v>59.8</v>
      </c>
      <c r="L7" s="141">
        <v>69.47</v>
      </c>
      <c r="M7" s="139">
        <v>70.2</v>
      </c>
      <c r="N7" s="140">
        <v>69</v>
      </c>
      <c r="O7" s="139">
        <v>61.29</v>
      </c>
      <c r="P7" s="146">
        <v>70.930000000000007</v>
      </c>
      <c r="Q7" s="139">
        <v>0</v>
      </c>
      <c r="R7" s="140">
        <v>0</v>
      </c>
      <c r="S7" s="139">
        <v>94.7</v>
      </c>
      <c r="T7" s="141">
        <v>100</v>
      </c>
      <c r="U7" s="143">
        <v>99.7</v>
      </c>
      <c r="V7" s="141">
        <v>99.96</v>
      </c>
      <c r="W7" s="139">
        <v>93.8</v>
      </c>
      <c r="X7" s="141">
        <v>98.45</v>
      </c>
      <c r="Y7" s="139">
        <v>0</v>
      </c>
      <c r="Z7" s="141">
        <v>0</v>
      </c>
      <c r="AA7" s="139">
        <v>95.1</v>
      </c>
      <c r="AB7" s="141">
        <v>99.1</v>
      </c>
      <c r="AC7" s="139">
        <v>101.5</v>
      </c>
      <c r="AD7" s="141">
        <v>106.99</v>
      </c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2"/>
      <c r="AP7" s="233"/>
      <c r="AQ7" s="233"/>
      <c r="AR7" s="233"/>
      <c r="AS7" s="233"/>
      <c r="AT7" s="233"/>
      <c r="AU7" s="233"/>
      <c r="AV7" s="233"/>
      <c r="AW7" s="233"/>
      <c r="AX7" s="233"/>
    </row>
    <row r="8" spans="1:50" ht="17.25" thickBot="1">
      <c r="A8" s="18" t="s">
        <v>172</v>
      </c>
      <c r="B8" s="5" t="s">
        <v>45</v>
      </c>
      <c r="C8" s="130"/>
      <c r="D8" s="130"/>
      <c r="E8" s="139">
        <v>30</v>
      </c>
      <c r="F8" s="140">
        <v>37.880000000000003</v>
      </c>
      <c r="G8" s="139">
        <v>35.200000000000003</v>
      </c>
      <c r="H8" s="141">
        <v>31.17</v>
      </c>
      <c r="I8" s="139">
        <v>28.55</v>
      </c>
      <c r="J8" s="140">
        <v>36.42</v>
      </c>
      <c r="K8" s="139">
        <v>32.200000000000003</v>
      </c>
      <c r="L8" s="141">
        <v>46.09</v>
      </c>
      <c r="M8" s="139">
        <v>59.2</v>
      </c>
      <c r="N8" s="140">
        <v>53.64</v>
      </c>
      <c r="O8" s="139">
        <v>46.95</v>
      </c>
      <c r="P8" s="141">
        <v>67.09</v>
      </c>
      <c r="Q8" s="139">
        <v>61</v>
      </c>
      <c r="R8" s="140">
        <v>74.73</v>
      </c>
      <c r="S8" s="139">
        <v>83</v>
      </c>
      <c r="T8" s="141">
        <v>95.4</v>
      </c>
      <c r="U8" s="143">
        <v>94.3</v>
      </c>
      <c r="V8" s="141">
        <v>112.16</v>
      </c>
      <c r="W8" s="139">
        <v>105</v>
      </c>
      <c r="X8" s="141">
        <v>101.8</v>
      </c>
      <c r="Y8" s="139">
        <v>0</v>
      </c>
      <c r="Z8" s="141">
        <v>0</v>
      </c>
      <c r="AA8" s="139">
        <v>97.4</v>
      </c>
      <c r="AB8" s="141">
        <v>100</v>
      </c>
      <c r="AC8" s="139">
        <v>97</v>
      </c>
      <c r="AD8" s="141">
        <v>109.6</v>
      </c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33"/>
      <c r="AP8" s="64"/>
      <c r="AQ8" s="64"/>
      <c r="AR8" s="64"/>
      <c r="AS8" s="64"/>
      <c r="AT8" s="64"/>
      <c r="AU8" s="64"/>
      <c r="AV8" s="64"/>
      <c r="AW8" s="64"/>
      <c r="AX8" s="64"/>
    </row>
    <row r="9" spans="1:50" ht="17.25" thickBot="1">
      <c r="A9" s="18" t="s">
        <v>173</v>
      </c>
      <c r="B9" s="5" t="s">
        <v>16</v>
      </c>
      <c r="C9" s="130"/>
      <c r="D9" s="130"/>
      <c r="E9" s="139">
        <v>56.5</v>
      </c>
      <c r="F9" s="140">
        <v>59.57</v>
      </c>
      <c r="G9" s="139">
        <v>55</v>
      </c>
      <c r="H9" s="141">
        <v>58.644999999999996</v>
      </c>
      <c r="I9" s="139">
        <v>50.1</v>
      </c>
      <c r="J9" s="140">
        <v>59.823</v>
      </c>
      <c r="K9" s="139">
        <v>52.6</v>
      </c>
      <c r="L9" s="141">
        <v>95.5</v>
      </c>
      <c r="M9" s="139">
        <v>84.8</v>
      </c>
      <c r="N9" s="140">
        <v>50.300000000000004</v>
      </c>
      <c r="O9" s="139">
        <v>43.2</v>
      </c>
      <c r="P9" s="141">
        <v>73.810999999999993</v>
      </c>
      <c r="Q9" s="139">
        <v>64.2</v>
      </c>
      <c r="R9" s="140">
        <v>101.5</v>
      </c>
      <c r="S9" s="139">
        <v>84.3</v>
      </c>
      <c r="T9" s="141">
        <v>80.8</v>
      </c>
      <c r="U9" s="143">
        <v>79.2</v>
      </c>
      <c r="V9" s="141">
        <v>82.6</v>
      </c>
      <c r="W9" s="139">
        <v>79.3</v>
      </c>
      <c r="X9" s="141">
        <v>84.92</v>
      </c>
      <c r="Y9" s="139">
        <v>0</v>
      </c>
      <c r="Z9" s="141">
        <v>0</v>
      </c>
      <c r="AA9" s="139">
        <v>62</v>
      </c>
      <c r="AB9" s="141">
        <v>77</v>
      </c>
      <c r="AC9" s="139">
        <v>76</v>
      </c>
      <c r="AD9" s="141">
        <v>92.8</v>
      </c>
      <c r="AE9" s="128"/>
      <c r="AF9" s="128"/>
      <c r="AG9" s="128"/>
      <c r="AH9" s="128"/>
      <c r="AI9" s="128"/>
      <c r="AJ9" s="128"/>
      <c r="AK9" s="128"/>
      <c r="AL9" s="128"/>
      <c r="AM9" s="128"/>
      <c r="AN9" s="128"/>
      <c r="AO9" s="133"/>
      <c r="AP9" s="64"/>
      <c r="AQ9" s="64"/>
      <c r="AR9" s="64"/>
      <c r="AS9" s="64"/>
      <c r="AT9" s="64"/>
      <c r="AU9" s="64"/>
      <c r="AV9" s="64"/>
      <c r="AW9" s="64"/>
      <c r="AX9" s="64"/>
    </row>
    <row r="10" spans="1:50" ht="17.25" thickBot="1">
      <c r="A10" s="18" t="s">
        <v>174</v>
      </c>
      <c r="B10" s="5" t="s">
        <v>21</v>
      </c>
      <c r="C10" s="130"/>
      <c r="D10" s="130"/>
      <c r="E10" s="139">
        <v>44.2</v>
      </c>
      <c r="F10" s="140">
        <v>45.39</v>
      </c>
      <c r="G10" s="139">
        <v>40.200000000000003</v>
      </c>
      <c r="H10" s="141">
        <v>32.47</v>
      </c>
      <c r="I10" s="139">
        <v>27.05</v>
      </c>
      <c r="J10" s="140">
        <v>35.26</v>
      </c>
      <c r="K10" s="139">
        <v>33.1</v>
      </c>
      <c r="L10" s="141">
        <v>57.46</v>
      </c>
      <c r="M10" s="139">
        <v>51.2</v>
      </c>
      <c r="N10" s="140">
        <v>33.630000000000003</v>
      </c>
      <c r="O10" s="139">
        <v>27.75</v>
      </c>
      <c r="P10" s="141">
        <v>81.849999999999994</v>
      </c>
      <c r="Q10" s="139">
        <v>60.5</v>
      </c>
      <c r="R10" s="140">
        <v>83.25</v>
      </c>
      <c r="S10" s="139">
        <v>63</v>
      </c>
      <c r="T10" s="141">
        <v>65.5</v>
      </c>
      <c r="U10" s="143">
        <v>64.7</v>
      </c>
      <c r="V10" s="141">
        <v>87.36</v>
      </c>
      <c r="W10" s="139">
        <v>74</v>
      </c>
      <c r="X10" s="141">
        <v>91.2</v>
      </c>
      <c r="Y10" s="139">
        <v>0</v>
      </c>
      <c r="Z10" s="141">
        <v>0</v>
      </c>
      <c r="AA10" s="139">
        <v>50.1</v>
      </c>
      <c r="AB10" s="141">
        <v>53.3</v>
      </c>
      <c r="AC10" s="139">
        <v>49.5</v>
      </c>
      <c r="AD10" s="141">
        <v>63.8</v>
      </c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33"/>
      <c r="AP10" s="64"/>
      <c r="AQ10" s="64"/>
      <c r="AR10" s="64"/>
      <c r="AS10" s="64"/>
      <c r="AT10" s="64"/>
      <c r="AU10" s="64"/>
      <c r="AV10" s="64"/>
      <c r="AW10" s="64"/>
      <c r="AX10" s="64"/>
    </row>
    <row r="11" spans="1:50" ht="17.25" thickBot="1">
      <c r="A11" s="18" t="s">
        <v>175</v>
      </c>
      <c r="B11" s="5" t="s">
        <v>25</v>
      </c>
      <c r="C11" s="130"/>
      <c r="D11" s="130"/>
      <c r="E11" s="139">
        <v>33.1</v>
      </c>
      <c r="F11" s="140">
        <v>34.1</v>
      </c>
      <c r="G11" s="139">
        <v>32.700000000000003</v>
      </c>
      <c r="H11" s="140">
        <v>29.9</v>
      </c>
      <c r="I11" s="139">
        <v>27.5</v>
      </c>
      <c r="J11" s="140">
        <v>31.65</v>
      </c>
      <c r="K11" s="139">
        <v>28.95</v>
      </c>
      <c r="L11" s="140">
        <v>29.8</v>
      </c>
      <c r="M11" s="139">
        <v>33</v>
      </c>
      <c r="N11" s="140">
        <v>25.4</v>
      </c>
      <c r="O11" s="139">
        <v>24.65</v>
      </c>
      <c r="P11" s="140">
        <v>39.299999999999997</v>
      </c>
      <c r="Q11" s="139">
        <v>36.200000000000003</v>
      </c>
      <c r="R11" s="140">
        <v>44</v>
      </c>
      <c r="S11" s="139">
        <v>42.2</v>
      </c>
      <c r="T11" s="140">
        <v>34.65</v>
      </c>
      <c r="U11" s="139">
        <v>31.1</v>
      </c>
      <c r="V11" s="140">
        <v>37.86</v>
      </c>
      <c r="W11" s="139">
        <v>35.5</v>
      </c>
      <c r="X11" s="140">
        <v>44.6</v>
      </c>
      <c r="Y11" s="139">
        <v>0</v>
      </c>
      <c r="Z11" s="141">
        <v>0</v>
      </c>
      <c r="AA11" s="139">
        <v>50.3</v>
      </c>
      <c r="AB11" s="140">
        <v>45</v>
      </c>
      <c r="AC11" s="139">
        <v>35.700000000000003</v>
      </c>
      <c r="AD11" s="140">
        <v>53</v>
      </c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33"/>
      <c r="AP11" s="64"/>
      <c r="AQ11" s="64"/>
      <c r="AR11" s="64"/>
      <c r="AS11" s="64"/>
      <c r="AT11" s="64"/>
      <c r="AU11" s="64"/>
      <c r="AV11" s="64"/>
      <c r="AW11" s="64"/>
      <c r="AX11" s="64"/>
    </row>
    <row r="12" spans="1:50" ht="17.25" thickBot="1">
      <c r="A12" s="18" t="s">
        <v>176</v>
      </c>
      <c r="B12" s="5" t="s">
        <v>28</v>
      </c>
      <c r="C12" s="130"/>
      <c r="D12" s="130"/>
      <c r="E12" s="139">
        <v>53.5</v>
      </c>
      <c r="F12" s="140">
        <v>67</v>
      </c>
      <c r="G12" s="139">
        <v>64</v>
      </c>
      <c r="H12" s="141">
        <v>62</v>
      </c>
      <c r="I12" s="139">
        <v>59</v>
      </c>
      <c r="J12" s="140">
        <v>79.19</v>
      </c>
      <c r="K12" s="139">
        <v>72.3</v>
      </c>
      <c r="L12" s="141">
        <v>69.099999999999994</v>
      </c>
      <c r="M12" s="139">
        <v>76.3</v>
      </c>
      <c r="N12" s="140">
        <v>40.83</v>
      </c>
      <c r="O12" s="139">
        <v>37.5</v>
      </c>
      <c r="P12" s="141">
        <v>59.7</v>
      </c>
      <c r="Q12" s="139">
        <v>54</v>
      </c>
      <c r="R12" s="140">
        <v>54.79</v>
      </c>
      <c r="S12" s="139">
        <v>36.4</v>
      </c>
      <c r="T12" s="141">
        <v>32.700000000000003</v>
      </c>
      <c r="U12" s="143">
        <v>31.7</v>
      </c>
      <c r="V12" s="141">
        <v>33.58</v>
      </c>
      <c r="W12" s="139">
        <v>31.8</v>
      </c>
      <c r="X12" s="141">
        <v>52.23</v>
      </c>
      <c r="Y12" s="139">
        <v>0</v>
      </c>
      <c r="Z12" s="141">
        <v>0</v>
      </c>
      <c r="AA12" s="139">
        <v>41</v>
      </c>
      <c r="AB12" s="141">
        <v>46.3</v>
      </c>
      <c r="AC12" s="139">
        <v>33.9</v>
      </c>
      <c r="AD12" s="141">
        <v>50.2</v>
      </c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33"/>
      <c r="AP12" s="64"/>
      <c r="AQ12" s="64"/>
      <c r="AR12" s="64"/>
      <c r="AS12" s="64"/>
      <c r="AT12" s="64"/>
      <c r="AU12" s="64"/>
      <c r="AV12" s="64"/>
      <c r="AW12" s="64"/>
      <c r="AX12" s="64"/>
    </row>
    <row r="13" spans="1:50" ht="17.25" thickBot="1">
      <c r="A13" s="18" t="s">
        <v>177</v>
      </c>
      <c r="B13" s="5" t="s">
        <v>14</v>
      </c>
      <c r="C13" s="130"/>
      <c r="D13" s="130"/>
      <c r="E13" s="139">
        <v>14.45</v>
      </c>
      <c r="F13" s="140">
        <v>17.2</v>
      </c>
      <c r="G13" s="139">
        <v>16.8</v>
      </c>
      <c r="H13" s="141">
        <v>15.96</v>
      </c>
      <c r="I13" s="139">
        <v>14.8</v>
      </c>
      <c r="J13" s="140">
        <v>33.15</v>
      </c>
      <c r="K13" s="139">
        <v>30.4</v>
      </c>
      <c r="L13" s="141">
        <v>47.13</v>
      </c>
      <c r="M13" s="139">
        <v>38.25</v>
      </c>
      <c r="N13" s="140">
        <v>32.35</v>
      </c>
      <c r="O13" s="139">
        <v>28.35</v>
      </c>
      <c r="P13" s="141">
        <v>41.63</v>
      </c>
      <c r="Q13" s="139">
        <v>33.799999999999997</v>
      </c>
      <c r="R13" s="140">
        <v>48.38</v>
      </c>
      <c r="S13" s="139">
        <v>43.05</v>
      </c>
      <c r="T13" s="141">
        <v>48.31</v>
      </c>
      <c r="U13" s="143">
        <v>43.3</v>
      </c>
      <c r="V13" s="141">
        <v>58.03</v>
      </c>
      <c r="W13" s="139">
        <v>52.8</v>
      </c>
      <c r="X13" s="141">
        <v>58.32</v>
      </c>
      <c r="Y13" s="139">
        <v>0</v>
      </c>
      <c r="Z13" s="141">
        <v>0</v>
      </c>
      <c r="AA13" s="139">
        <v>55.2</v>
      </c>
      <c r="AB13" s="141">
        <v>54.9</v>
      </c>
      <c r="AC13" s="139">
        <v>53</v>
      </c>
      <c r="AD13" s="141">
        <v>55.4</v>
      </c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33"/>
      <c r="AP13" s="64"/>
      <c r="AQ13" s="64"/>
      <c r="AR13" s="64"/>
      <c r="AS13" s="64"/>
      <c r="AT13" s="64"/>
      <c r="AU13" s="64"/>
      <c r="AV13" s="64"/>
      <c r="AW13" s="64"/>
      <c r="AX13" s="64"/>
    </row>
    <row r="14" spans="1:50" ht="17.25" thickBot="1">
      <c r="A14" s="18" t="s">
        <v>178</v>
      </c>
      <c r="B14" s="5" t="s">
        <v>34</v>
      </c>
      <c r="C14" s="130"/>
      <c r="D14" s="130"/>
      <c r="E14" s="139">
        <v>35.9</v>
      </c>
      <c r="F14" s="140">
        <v>25.37</v>
      </c>
      <c r="G14" s="139">
        <v>23.8</v>
      </c>
      <c r="H14" s="144">
        <v>33.21</v>
      </c>
      <c r="I14" s="139">
        <v>28.85</v>
      </c>
      <c r="J14" s="144">
        <v>37</v>
      </c>
      <c r="K14" s="139">
        <v>36.9</v>
      </c>
      <c r="L14" s="144">
        <v>38.79</v>
      </c>
      <c r="M14" s="139">
        <v>25.6</v>
      </c>
      <c r="N14" s="144">
        <v>13.85</v>
      </c>
      <c r="O14" s="139">
        <v>12.2</v>
      </c>
      <c r="P14" s="144">
        <v>29.35</v>
      </c>
      <c r="Q14" s="139">
        <v>26.45</v>
      </c>
      <c r="R14" s="144">
        <v>37.49</v>
      </c>
      <c r="S14" s="139">
        <v>27.65</v>
      </c>
      <c r="T14" s="144">
        <v>25.9</v>
      </c>
      <c r="U14" s="143">
        <v>25.5</v>
      </c>
      <c r="V14" s="144">
        <v>29.38</v>
      </c>
      <c r="W14" s="139">
        <v>24.75</v>
      </c>
      <c r="X14" s="144">
        <v>28.75</v>
      </c>
      <c r="Y14" s="139">
        <v>0</v>
      </c>
      <c r="Z14" s="141">
        <v>0</v>
      </c>
      <c r="AA14" s="139">
        <v>31.8</v>
      </c>
      <c r="AB14" s="144">
        <v>38</v>
      </c>
      <c r="AC14" s="139">
        <v>33.75</v>
      </c>
      <c r="AD14" s="144">
        <v>34.65</v>
      </c>
      <c r="AE14" s="128"/>
      <c r="AF14" s="128"/>
      <c r="AG14" s="128"/>
      <c r="AH14" s="128"/>
      <c r="AI14" s="128"/>
      <c r="AJ14" s="128"/>
      <c r="AK14" s="128"/>
      <c r="AL14" s="128"/>
      <c r="AM14" s="128"/>
      <c r="AN14" s="128"/>
      <c r="AO14" s="133"/>
      <c r="AP14" s="64"/>
      <c r="AQ14" s="64"/>
      <c r="AR14" s="64"/>
      <c r="AS14" s="64"/>
      <c r="AT14" s="64"/>
      <c r="AU14" s="64"/>
      <c r="AV14" s="64"/>
      <c r="AW14" s="64"/>
      <c r="AX14" s="64"/>
    </row>
    <row r="15" spans="1:50" s="23" customFormat="1" ht="17.25" thickBot="1">
      <c r="A15" s="18" t="s">
        <v>181</v>
      </c>
      <c r="B15" s="5" t="s">
        <v>18</v>
      </c>
      <c r="C15" s="234"/>
      <c r="D15" s="234"/>
      <c r="E15" s="139">
        <v>49.7</v>
      </c>
      <c r="F15" s="140">
        <v>53.32</v>
      </c>
      <c r="G15" s="139">
        <v>48.7</v>
      </c>
      <c r="H15" s="141">
        <v>51.51</v>
      </c>
      <c r="I15" s="139">
        <v>44.6</v>
      </c>
      <c r="J15" s="140">
        <v>59.63</v>
      </c>
      <c r="K15" s="139">
        <v>53.3</v>
      </c>
      <c r="L15" s="141">
        <v>91</v>
      </c>
      <c r="M15" s="139">
        <v>74.2</v>
      </c>
      <c r="N15" s="140">
        <v>42</v>
      </c>
      <c r="O15" s="139">
        <v>35.299999999999997</v>
      </c>
      <c r="P15" s="141">
        <v>60.85</v>
      </c>
      <c r="Q15" s="139">
        <v>62</v>
      </c>
      <c r="R15" s="140">
        <v>74.599999999999994</v>
      </c>
      <c r="S15" s="139">
        <v>67.3</v>
      </c>
      <c r="T15" s="141">
        <v>60.1</v>
      </c>
      <c r="U15" s="143">
        <v>60</v>
      </c>
      <c r="V15" s="141">
        <v>58.1</v>
      </c>
      <c r="W15" s="139">
        <v>58.5</v>
      </c>
      <c r="X15" s="141">
        <v>69.89</v>
      </c>
      <c r="Y15" s="139">
        <v>0</v>
      </c>
      <c r="Z15" s="141">
        <v>0</v>
      </c>
      <c r="AA15" s="139">
        <v>53.1</v>
      </c>
      <c r="AB15" s="141">
        <v>61</v>
      </c>
      <c r="AC15" s="139">
        <v>55.9</v>
      </c>
      <c r="AD15" s="141">
        <v>74.5</v>
      </c>
      <c r="AE15" s="235"/>
      <c r="AF15" s="235"/>
      <c r="AG15" s="235"/>
      <c r="AH15" s="235"/>
      <c r="AI15" s="235"/>
      <c r="AJ15" s="235"/>
      <c r="AK15" s="235"/>
      <c r="AL15" s="235"/>
      <c r="AM15" s="235"/>
      <c r="AN15" s="235"/>
      <c r="AO15" s="232"/>
      <c r="AP15" s="233"/>
      <c r="AQ15" s="233"/>
      <c r="AR15" s="233"/>
      <c r="AS15" s="233"/>
      <c r="AT15" s="233"/>
      <c r="AU15" s="233"/>
      <c r="AV15" s="233"/>
      <c r="AW15" s="233"/>
      <c r="AX15" s="233"/>
    </row>
    <row r="16" spans="1:50" s="23" customFormat="1" ht="17.25" thickBot="1">
      <c r="A16" s="18" t="s">
        <v>179</v>
      </c>
      <c r="B16" s="5" t="s">
        <v>180</v>
      </c>
      <c r="C16" s="234"/>
      <c r="D16" s="234"/>
      <c r="E16" s="139">
        <v>57</v>
      </c>
      <c r="F16" s="140">
        <v>71.05</v>
      </c>
      <c r="G16" s="139">
        <v>60</v>
      </c>
      <c r="H16" s="141">
        <v>59.79</v>
      </c>
      <c r="I16" s="139">
        <v>52.6</v>
      </c>
      <c r="J16" s="140">
        <v>59.3</v>
      </c>
      <c r="K16" s="139">
        <v>54</v>
      </c>
      <c r="L16" s="141">
        <v>90</v>
      </c>
      <c r="M16" s="139">
        <v>74.8</v>
      </c>
      <c r="N16" s="140">
        <v>42.1</v>
      </c>
      <c r="O16" s="139">
        <v>40.1</v>
      </c>
      <c r="P16" s="141">
        <v>73.900000000000006</v>
      </c>
      <c r="Q16" s="139">
        <v>68.599999999999994</v>
      </c>
      <c r="R16" s="140">
        <v>105.7</v>
      </c>
      <c r="S16" s="139">
        <v>79.2</v>
      </c>
      <c r="T16" s="141">
        <v>79.900000000000006</v>
      </c>
      <c r="U16" s="143">
        <v>78.599999999999994</v>
      </c>
      <c r="V16" s="141">
        <v>77.900000000000006</v>
      </c>
      <c r="W16" s="139">
        <v>77.8</v>
      </c>
      <c r="X16" s="141">
        <v>86.5</v>
      </c>
      <c r="Y16" s="139">
        <v>0</v>
      </c>
      <c r="Z16" s="141">
        <v>0</v>
      </c>
      <c r="AA16" s="139">
        <v>62.1</v>
      </c>
      <c r="AB16" s="141">
        <v>74</v>
      </c>
      <c r="AC16" s="139">
        <v>69.2</v>
      </c>
      <c r="AD16" s="141">
        <v>101.9</v>
      </c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2"/>
      <c r="AP16" s="233"/>
      <c r="AQ16" s="233"/>
      <c r="AR16" s="233"/>
      <c r="AS16" s="233"/>
      <c r="AT16" s="233"/>
      <c r="AU16" s="233"/>
      <c r="AV16" s="233"/>
      <c r="AW16" s="233"/>
      <c r="AX16" s="233"/>
    </row>
    <row r="17" spans="1:50" ht="17.25" thickBot="1">
      <c r="A17" s="18" t="s">
        <v>182</v>
      </c>
      <c r="B17" s="5" t="s">
        <v>46</v>
      </c>
      <c r="C17" s="130"/>
      <c r="D17" s="130"/>
      <c r="E17" s="139">
        <v>54</v>
      </c>
      <c r="F17" s="140">
        <v>57.006</v>
      </c>
      <c r="G17" s="139">
        <v>51</v>
      </c>
      <c r="H17" s="141">
        <v>71.8</v>
      </c>
      <c r="I17" s="139">
        <v>67.900000000000006</v>
      </c>
      <c r="J17" s="140">
        <v>82.100000000000009</v>
      </c>
      <c r="K17" s="139">
        <v>74.5</v>
      </c>
      <c r="L17" s="141">
        <v>88.7</v>
      </c>
      <c r="M17" s="139">
        <v>85.1</v>
      </c>
      <c r="N17" s="140">
        <v>81.600000000000009</v>
      </c>
      <c r="O17" s="139">
        <v>79</v>
      </c>
      <c r="P17" s="141">
        <v>88.489599999999996</v>
      </c>
      <c r="Q17" s="139">
        <v>72.3</v>
      </c>
      <c r="R17" s="140">
        <v>138.1</v>
      </c>
      <c r="S17" s="139">
        <v>168.5</v>
      </c>
      <c r="T17" s="141">
        <v>165</v>
      </c>
      <c r="U17" s="143">
        <v>167</v>
      </c>
      <c r="V17" s="141">
        <v>160.30000000000001</v>
      </c>
      <c r="W17" s="139">
        <v>161.5</v>
      </c>
      <c r="X17" s="141">
        <v>211.35</v>
      </c>
      <c r="Y17" s="139">
        <v>0</v>
      </c>
      <c r="Z17" s="141">
        <v>0</v>
      </c>
      <c r="AA17" s="139">
        <v>200</v>
      </c>
      <c r="AB17" s="141">
        <v>205.5</v>
      </c>
      <c r="AC17" s="139">
        <v>211</v>
      </c>
      <c r="AD17" s="141">
        <v>238.2</v>
      </c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33"/>
      <c r="AP17" s="64"/>
      <c r="AQ17" s="64"/>
      <c r="AR17" s="64"/>
      <c r="AS17" s="64"/>
      <c r="AT17" s="64"/>
      <c r="AU17" s="64"/>
      <c r="AV17" s="64"/>
      <c r="AW17" s="64"/>
      <c r="AX17" s="64"/>
    </row>
    <row r="18" spans="1:50" s="23" customFormat="1" ht="17.25" thickBot="1">
      <c r="A18" s="54" t="s">
        <v>183</v>
      </c>
      <c r="B18" s="53" t="s">
        <v>48</v>
      </c>
      <c r="C18" s="234"/>
      <c r="D18" s="234"/>
      <c r="E18" s="139">
        <v>21.3</v>
      </c>
      <c r="F18" s="140">
        <v>23.44</v>
      </c>
      <c r="G18" s="139">
        <v>21.8</v>
      </c>
      <c r="H18" s="141">
        <v>22.88</v>
      </c>
      <c r="I18" s="139">
        <v>21.1</v>
      </c>
      <c r="J18" s="140">
        <v>25.5</v>
      </c>
      <c r="K18" s="139">
        <v>22.9</v>
      </c>
      <c r="L18" s="141">
        <v>21.45</v>
      </c>
      <c r="M18" s="139">
        <v>20.3</v>
      </c>
      <c r="N18" s="140">
        <v>12.7</v>
      </c>
      <c r="O18" s="139">
        <v>11.6</v>
      </c>
      <c r="P18" s="141">
        <v>18.75</v>
      </c>
      <c r="Q18" s="139">
        <v>17.3</v>
      </c>
      <c r="R18" s="140">
        <v>23.45</v>
      </c>
      <c r="S18" s="139">
        <v>25.7</v>
      </c>
      <c r="T18" s="141">
        <v>21.5</v>
      </c>
      <c r="U18" s="143">
        <v>19.45</v>
      </c>
      <c r="V18" s="141">
        <v>23.79</v>
      </c>
      <c r="W18" s="139">
        <v>23.1</v>
      </c>
      <c r="X18" s="141">
        <v>26.2</v>
      </c>
      <c r="Y18" s="139">
        <v>0</v>
      </c>
      <c r="Z18" s="141">
        <v>0</v>
      </c>
      <c r="AA18" s="139">
        <v>22.3</v>
      </c>
      <c r="AB18" s="141">
        <v>21.25</v>
      </c>
      <c r="AC18" s="139">
        <v>19.55</v>
      </c>
      <c r="AD18" s="141">
        <v>24.5</v>
      </c>
      <c r="AE18" s="235"/>
      <c r="AF18" s="235"/>
      <c r="AG18" s="235"/>
      <c r="AH18" s="235"/>
      <c r="AI18" s="235"/>
      <c r="AJ18" s="235"/>
      <c r="AK18" s="235"/>
      <c r="AL18" s="235"/>
      <c r="AM18" s="235"/>
      <c r="AN18" s="235"/>
      <c r="AO18" s="232"/>
      <c r="AP18" s="233"/>
      <c r="AQ18" s="233"/>
      <c r="AR18" s="233"/>
      <c r="AS18" s="233"/>
      <c r="AT18" s="233"/>
      <c r="AU18" s="233"/>
      <c r="AV18" s="233"/>
      <c r="AW18" s="233"/>
      <c r="AX18" s="233"/>
    </row>
    <row r="19" spans="1:50" s="23" customFormat="1" ht="17.25" thickBot="1">
      <c r="A19" s="18" t="s">
        <v>184</v>
      </c>
      <c r="B19" s="5" t="s">
        <v>50</v>
      </c>
      <c r="C19" s="234"/>
      <c r="D19" s="234"/>
      <c r="E19" s="139">
        <v>25.3</v>
      </c>
      <c r="F19" s="140">
        <v>27.2</v>
      </c>
      <c r="G19" s="139">
        <v>27.3</v>
      </c>
      <c r="H19" s="141">
        <v>25.43</v>
      </c>
      <c r="I19" s="139">
        <v>22.95</v>
      </c>
      <c r="J19" s="140">
        <v>26.62</v>
      </c>
      <c r="K19" s="139">
        <v>24.1</v>
      </c>
      <c r="L19" s="141">
        <v>25.43</v>
      </c>
      <c r="M19" s="139">
        <v>25.25</v>
      </c>
      <c r="N19" s="140">
        <v>19.16</v>
      </c>
      <c r="O19" s="139">
        <v>17.7</v>
      </c>
      <c r="P19" s="141">
        <v>20.85</v>
      </c>
      <c r="Q19" s="139">
        <v>17.8</v>
      </c>
      <c r="R19" s="140">
        <v>28.02</v>
      </c>
      <c r="S19" s="139">
        <v>23.4</v>
      </c>
      <c r="T19" s="141">
        <v>17.75</v>
      </c>
      <c r="U19" s="143">
        <v>17.149999999999999</v>
      </c>
      <c r="V19" s="141">
        <v>19.16</v>
      </c>
      <c r="W19" s="139">
        <v>17.5</v>
      </c>
      <c r="X19" s="141">
        <v>20.21</v>
      </c>
      <c r="Y19" s="139">
        <v>0</v>
      </c>
      <c r="Z19" s="141">
        <v>0</v>
      </c>
      <c r="AA19" s="139">
        <v>15</v>
      </c>
      <c r="AB19" s="141">
        <v>15.3</v>
      </c>
      <c r="AC19" s="139">
        <v>14.4</v>
      </c>
      <c r="AD19" s="141">
        <v>18.920000000000002</v>
      </c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2"/>
      <c r="AP19" s="233"/>
      <c r="AQ19" s="233"/>
      <c r="AR19" s="233"/>
      <c r="AS19" s="233"/>
      <c r="AT19" s="233"/>
      <c r="AU19" s="233"/>
      <c r="AV19" s="233"/>
      <c r="AW19" s="233"/>
      <c r="AX19" s="233"/>
    </row>
    <row r="20" spans="1:50" s="23" customFormat="1" ht="17.25" thickBot="1">
      <c r="A20" s="18" t="s">
        <v>185</v>
      </c>
      <c r="B20" s="5" t="s">
        <v>186</v>
      </c>
      <c r="C20" s="234"/>
      <c r="D20" s="234"/>
      <c r="E20" s="139">
        <v>54</v>
      </c>
      <c r="F20" s="140">
        <v>62.75</v>
      </c>
      <c r="G20" s="139">
        <v>59</v>
      </c>
      <c r="H20" s="141">
        <v>65.302000000000007</v>
      </c>
      <c r="I20" s="139">
        <v>58.7</v>
      </c>
      <c r="J20" s="140">
        <v>78.447999999999993</v>
      </c>
      <c r="K20" s="139">
        <v>67.5</v>
      </c>
      <c r="L20" s="141">
        <v>101.4</v>
      </c>
      <c r="M20" s="139">
        <v>86</v>
      </c>
      <c r="N20" s="140">
        <v>74.5</v>
      </c>
      <c r="O20" s="139">
        <v>68.2</v>
      </c>
      <c r="P20" s="141">
        <v>86.072000000000003</v>
      </c>
      <c r="Q20" s="139">
        <v>80.3</v>
      </c>
      <c r="R20" s="140">
        <v>102.7</v>
      </c>
      <c r="S20" s="139">
        <v>84.8</v>
      </c>
      <c r="T20" s="141">
        <v>93.8</v>
      </c>
      <c r="U20" s="143">
        <v>90.7</v>
      </c>
      <c r="V20" s="141">
        <v>88</v>
      </c>
      <c r="W20" s="139">
        <v>83.2</v>
      </c>
      <c r="X20" s="141">
        <v>82.06</v>
      </c>
      <c r="Y20" s="139">
        <v>0</v>
      </c>
      <c r="Z20" s="141">
        <v>0</v>
      </c>
      <c r="AA20" s="139">
        <v>65.099999999999994</v>
      </c>
      <c r="AB20" s="141">
        <v>78.8</v>
      </c>
      <c r="AC20" s="139">
        <v>78.900000000000006</v>
      </c>
      <c r="AD20" s="141">
        <v>116</v>
      </c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2"/>
      <c r="AP20" s="233"/>
      <c r="AQ20" s="233"/>
      <c r="AR20" s="233"/>
      <c r="AS20" s="233"/>
      <c r="AT20" s="233"/>
      <c r="AU20" s="233"/>
      <c r="AV20" s="233"/>
      <c r="AW20" s="233"/>
      <c r="AX20" s="233"/>
    </row>
    <row r="21" spans="1:50" s="23" customFormat="1" ht="17.25" thickBot="1">
      <c r="A21" s="18" t="s">
        <v>187</v>
      </c>
      <c r="B21" s="5" t="s">
        <v>54</v>
      </c>
      <c r="C21" s="130"/>
      <c r="D21" s="130"/>
      <c r="E21" s="150">
        <v>0</v>
      </c>
      <c r="F21" s="151">
        <v>0</v>
      </c>
      <c r="G21" s="150">
        <v>0</v>
      </c>
      <c r="H21" s="151">
        <v>0</v>
      </c>
      <c r="I21" s="150">
        <v>36.9</v>
      </c>
      <c r="J21" s="152">
        <v>40.049999999999997</v>
      </c>
      <c r="K21" s="153">
        <v>35.5</v>
      </c>
      <c r="L21" s="151">
        <v>44.1</v>
      </c>
      <c r="M21" s="153">
        <v>48.95</v>
      </c>
      <c r="N21" s="152">
        <v>42.32</v>
      </c>
      <c r="O21" s="150">
        <v>37.25</v>
      </c>
      <c r="P21" s="151">
        <v>40.950000000000003</v>
      </c>
      <c r="Q21" s="153">
        <v>37.799999999999997</v>
      </c>
      <c r="R21" s="152">
        <v>45.1</v>
      </c>
      <c r="S21" s="153">
        <v>43.75</v>
      </c>
      <c r="T21" s="151">
        <v>56.9</v>
      </c>
      <c r="U21" s="154">
        <v>56.8</v>
      </c>
      <c r="V21" s="151">
        <v>77.099999999999994</v>
      </c>
      <c r="W21" s="153">
        <v>72.3</v>
      </c>
      <c r="X21" s="151">
        <v>69</v>
      </c>
      <c r="Y21" s="150">
        <v>0</v>
      </c>
      <c r="Z21" s="151">
        <v>0</v>
      </c>
      <c r="AA21" s="153">
        <v>71</v>
      </c>
      <c r="AB21" s="151">
        <v>67.599999999999994</v>
      </c>
      <c r="AC21" s="153">
        <v>68.2</v>
      </c>
      <c r="AD21" s="151">
        <v>76.25</v>
      </c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2"/>
      <c r="AP21" s="233"/>
      <c r="AQ21" s="233"/>
      <c r="AR21" s="233"/>
      <c r="AS21" s="233"/>
      <c r="AT21" s="233"/>
      <c r="AU21" s="233"/>
      <c r="AV21" s="233"/>
      <c r="AW21" s="233"/>
      <c r="AX21" s="233"/>
    </row>
    <row r="22" spans="1:50">
      <c r="A22" s="19"/>
    </row>
    <row r="23" spans="1:50">
      <c r="A23" s="19"/>
    </row>
    <row r="24" spans="1:50">
      <c r="A24" s="19"/>
    </row>
    <row r="25" spans="1:50">
      <c r="A25" s="19"/>
    </row>
    <row r="26" spans="1:50">
      <c r="A26" s="19"/>
    </row>
    <row r="27" spans="1:50">
      <c r="A27" s="19"/>
    </row>
    <row r="28" spans="1:50">
      <c r="A28" s="19"/>
    </row>
    <row r="29" spans="1:50">
      <c r="A29" s="19"/>
    </row>
    <row r="30" spans="1:50">
      <c r="A30" s="19"/>
    </row>
    <row r="31" spans="1:50">
      <c r="A31" s="19"/>
    </row>
    <row r="32" spans="1:50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  <row r="45" spans="1:1">
      <c r="A45" s="19"/>
    </row>
    <row r="46" spans="1:1">
      <c r="A46" s="19"/>
    </row>
    <row r="47" spans="1:1">
      <c r="A47" s="19"/>
    </row>
    <row r="48" spans="1:1">
      <c r="A48" s="19"/>
    </row>
  </sheetData>
  <sheetProtection password="CC39" sheet="1" formatCells="0" formatColumns="0" formatRows="0"/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7030A0"/>
  </sheetPr>
  <dimension ref="A1:AY51"/>
  <sheetViews>
    <sheetView workbookViewId="0" xr3:uid="{78B4E459-6924-5F8B-B7BA-2DD04133E49E}">
      <pane xSplit="2" ySplit="1" topLeftCell="C2" activePane="bottomRight" state="frozen"/>
      <selection pane="bottomRight" activeCell="A26" sqref="A26"/>
      <selection pane="bottomLeft" activeCell="A2" sqref="A2"/>
      <selection pane="topRight" activeCell="C1" sqref="C1"/>
    </sheetView>
  </sheetViews>
  <sheetFormatPr defaultRowHeight="16.5"/>
  <cols>
    <col min="1" max="1" width="5.75" style="21" customWidth="1"/>
    <col min="2" max="2" width="6.875" style="20" customWidth="1"/>
    <col min="3" max="3" width="6.625" customWidth="1"/>
    <col min="13" max="13" width="8.875" style="55" customWidth="1"/>
    <col min="17" max="17" width="8.875" style="55" customWidth="1"/>
    <col min="19" max="19" width="8.875" style="55" customWidth="1"/>
    <col min="23" max="23" width="8.875" style="55" customWidth="1"/>
    <col min="27" max="27" width="8.875" style="55" customWidth="1"/>
    <col min="29" max="29" width="8.875" style="55" customWidth="1"/>
  </cols>
  <sheetData>
    <row r="1" spans="1:51" s="4" customFormat="1" ht="36" customHeight="1" thickBot="1">
      <c r="A1" s="16" t="s">
        <v>144</v>
      </c>
      <c r="B1" s="22" t="s">
        <v>145</v>
      </c>
      <c r="C1" s="69" t="s">
        <v>188</v>
      </c>
      <c r="D1" s="66" t="s">
        <v>146</v>
      </c>
      <c r="E1" s="66" t="s">
        <v>147</v>
      </c>
      <c r="F1" s="61" t="s">
        <v>148</v>
      </c>
      <c r="G1" s="66" t="s">
        <v>149</v>
      </c>
      <c r="H1" s="66" t="s">
        <v>148</v>
      </c>
      <c r="I1" s="66" t="s">
        <v>150</v>
      </c>
      <c r="J1" s="66" t="s">
        <v>148</v>
      </c>
      <c r="K1" s="66" t="s">
        <v>196</v>
      </c>
      <c r="L1" s="66" t="s">
        <v>148</v>
      </c>
      <c r="M1" s="67" t="s">
        <v>197</v>
      </c>
      <c r="N1" s="66" t="s">
        <v>148</v>
      </c>
      <c r="O1" s="66" t="s">
        <v>153</v>
      </c>
      <c r="P1" s="66" t="s">
        <v>148</v>
      </c>
      <c r="Q1" s="67" t="s">
        <v>198</v>
      </c>
      <c r="R1" s="66" t="s">
        <v>148</v>
      </c>
      <c r="S1" s="67" t="s">
        <v>199</v>
      </c>
      <c r="T1" s="66" t="s">
        <v>148</v>
      </c>
      <c r="U1" s="66" t="s">
        <v>156</v>
      </c>
      <c r="V1" s="66" t="s">
        <v>148</v>
      </c>
      <c r="W1" s="67" t="s">
        <v>193</v>
      </c>
      <c r="X1" s="66" t="s">
        <v>148</v>
      </c>
      <c r="Y1" s="68" t="s">
        <v>158</v>
      </c>
      <c r="Z1" s="68" t="s">
        <v>148</v>
      </c>
      <c r="AA1" s="67" t="s">
        <v>200</v>
      </c>
      <c r="AB1" s="66" t="s">
        <v>148</v>
      </c>
      <c r="AC1" s="67" t="s">
        <v>201</v>
      </c>
      <c r="AD1" s="66" t="s">
        <v>148</v>
      </c>
      <c r="AE1" s="66" t="s">
        <v>161</v>
      </c>
      <c r="AF1" s="66" t="s">
        <v>146</v>
      </c>
      <c r="AG1" s="61" t="s">
        <v>162</v>
      </c>
      <c r="AH1" s="61" t="s">
        <v>146</v>
      </c>
      <c r="AI1" s="61" t="s">
        <v>163</v>
      </c>
      <c r="AJ1" s="61" t="s">
        <v>146</v>
      </c>
      <c r="AK1" s="61" t="s">
        <v>164</v>
      </c>
      <c r="AL1" s="61" t="s">
        <v>146</v>
      </c>
      <c r="AM1" s="61" t="s">
        <v>165</v>
      </c>
      <c r="AN1" s="61" t="s">
        <v>146</v>
      </c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</row>
    <row r="2" spans="1:51" ht="17.25" thickBot="1">
      <c r="A2" s="18" t="s">
        <v>166</v>
      </c>
      <c r="B2" s="127" t="s">
        <v>31</v>
      </c>
      <c r="C2" s="130"/>
      <c r="D2" s="130"/>
      <c r="E2" s="139">
        <v>44.6</v>
      </c>
      <c r="F2" s="140">
        <v>61.05</v>
      </c>
      <c r="G2" s="139">
        <v>55</v>
      </c>
      <c r="H2" s="141">
        <v>72.94</v>
      </c>
      <c r="I2" s="139">
        <v>65.599999999999994</v>
      </c>
      <c r="J2" s="141">
        <v>113.25</v>
      </c>
      <c r="K2" s="139">
        <v>107.5</v>
      </c>
      <c r="L2" s="141">
        <v>121.05</v>
      </c>
      <c r="M2" s="142">
        <v>98.4</v>
      </c>
      <c r="N2" s="140">
        <v>70.27</v>
      </c>
      <c r="O2" s="139">
        <v>66.900000000000006</v>
      </c>
      <c r="P2" s="141">
        <v>105.5</v>
      </c>
      <c r="Q2" s="142">
        <v>94.6</v>
      </c>
      <c r="R2" s="140">
        <v>146.69999999999999</v>
      </c>
      <c r="S2" s="142">
        <v>95.6</v>
      </c>
      <c r="T2" s="141">
        <v>72</v>
      </c>
      <c r="U2" s="143">
        <v>71.5</v>
      </c>
      <c r="V2" s="141">
        <v>109.99</v>
      </c>
      <c r="W2" s="142">
        <v>106</v>
      </c>
      <c r="X2" s="141">
        <v>175.29</v>
      </c>
      <c r="Y2" s="139">
        <v>0</v>
      </c>
      <c r="Z2" s="141">
        <v>0</v>
      </c>
      <c r="AA2" s="142">
        <v>142.5</v>
      </c>
      <c r="AB2" s="141">
        <v>155.5</v>
      </c>
      <c r="AC2" s="142">
        <v>148</v>
      </c>
      <c r="AD2" s="141">
        <v>164.5</v>
      </c>
      <c r="AE2" s="128"/>
      <c r="AF2" s="128"/>
      <c r="AG2" s="128"/>
      <c r="AH2" s="128"/>
      <c r="AI2" s="128"/>
      <c r="AJ2" s="132"/>
      <c r="AK2" s="132"/>
      <c r="AL2" s="132"/>
      <c r="AM2" s="132"/>
      <c r="AN2" s="132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</row>
    <row r="3" spans="1:51" ht="17.25" thickBot="1">
      <c r="A3" s="18" t="s">
        <v>167</v>
      </c>
      <c r="B3" s="127" t="s">
        <v>35</v>
      </c>
      <c r="C3" s="130"/>
      <c r="D3" s="130"/>
      <c r="E3" s="139">
        <v>136.5</v>
      </c>
      <c r="F3" s="140">
        <v>171.05</v>
      </c>
      <c r="G3" s="139">
        <v>145.5</v>
      </c>
      <c r="H3" s="141">
        <v>217.73</v>
      </c>
      <c r="I3" s="139">
        <v>181.5</v>
      </c>
      <c r="J3" s="141">
        <v>282</v>
      </c>
      <c r="K3" s="139">
        <v>237.5</v>
      </c>
      <c r="L3" s="141">
        <v>245.4</v>
      </c>
      <c r="M3" s="142">
        <v>170</v>
      </c>
      <c r="N3" s="141">
        <v>76.83</v>
      </c>
      <c r="O3" s="139">
        <v>68.599999999999994</v>
      </c>
      <c r="P3" s="141">
        <v>175.33</v>
      </c>
      <c r="Q3" s="142">
        <v>138</v>
      </c>
      <c r="R3" s="140">
        <v>133.6</v>
      </c>
      <c r="S3" s="142">
        <v>73.099999999999994</v>
      </c>
      <c r="T3" s="141">
        <v>82.9</v>
      </c>
      <c r="U3" s="143">
        <v>81.400000000000006</v>
      </c>
      <c r="V3" s="141">
        <v>99.29</v>
      </c>
      <c r="W3" s="142">
        <v>84</v>
      </c>
      <c r="X3" s="141">
        <v>89.61</v>
      </c>
      <c r="Y3" s="139">
        <v>0</v>
      </c>
      <c r="Z3" s="141">
        <v>0</v>
      </c>
      <c r="AA3" s="142">
        <v>85.5</v>
      </c>
      <c r="AB3" s="141">
        <v>88.64</v>
      </c>
      <c r="AC3" s="142">
        <v>79</v>
      </c>
      <c r="AD3" s="141">
        <v>96.62</v>
      </c>
      <c r="AE3" s="128"/>
      <c r="AF3" s="128"/>
      <c r="AG3" s="128"/>
      <c r="AH3" s="128"/>
      <c r="AI3" s="128"/>
      <c r="AJ3" s="132"/>
      <c r="AK3" s="132"/>
      <c r="AL3" s="132"/>
      <c r="AM3" s="132"/>
      <c r="AN3" s="132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</row>
    <row r="4" spans="1:51" ht="17.25" thickBot="1">
      <c r="A4" s="18" t="s">
        <v>168</v>
      </c>
      <c r="B4" s="127" t="s">
        <v>39</v>
      </c>
      <c r="C4" s="130"/>
      <c r="D4" s="130"/>
      <c r="E4" s="139">
        <v>37</v>
      </c>
      <c r="F4" s="140">
        <v>29.17</v>
      </c>
      <c r="G4" s="139">
        <v>26.3</v>
      </c>
      <c r="H4" s="144">
        <v>50.48</v>
      </c>
      <c r="I4" s="139">
        <v>43.4</v>
      </c>
      <c r="J4" s="144">
        <v>57.78</v>
      </c>
      <c r="K4" s="139">
        <v>50.5</v>
      </c>
      <c r="L4" s="141">
        <v>62.815999999999995</v>
      </c>
      <c r="M4" s="142">
        <v>50</v>
      </c>
      <c r="N4" s="140">
        <v>32.78</v>
      </c>
      <c r="O4" s="139">
        <v>29.95</v>
      </c>
      <c r="P4" s="144">
        <v>45.15</v>
      </c>
      <c r="Q4" s="142">
        <v>42.4</v>
      </c>
      <c r="R4" s="140">
        <v>37.58</v>
      </c>
      <c r="S4" s="142">
        <v>25.8</v>
      </c>
      <c r="T4" s="144">
        <v>28.72</v>
      </c>
      <c r="U4" s="143">
        <v>26.8</v>
      </c>
      <c r="V4" s="144">
        <v>32.42</v>
      </c>
      <c r="W4" s="142">
        <v>30.65</v>
      </c>
      <c r="X4" s="144">
        <v>37.25</v>
      </c>
      <c r="Y4" s="139">
        <v>0</v>
      </c>
      <c r="Z4" s="141">
        <v>0</v>
      </c>
      <c r="AA4" s="142">
        <v>33.5</v>
      </c>
      <c r="AB4" s="144">
        <v>53.3</v>
      </c>
      <c r="AC4" s="142">
        <v>52</v>
      </c>
      <c r="AD4" s="144">
        <v>51.65</v>
      </c>
      <c r="AE4" s="128"/>
      <c r="AF4" s="128"/>
      <c r="AG4" s="128"/>
      <c r="AH4" s="128"/>
      <c r="AI4" s="128"/>
      <c r="AJ4" s="132"/>
      <c r="AK4" s="132"/>
      <c r="AL4" s="132"/>
      <c r="AM4" s="132"/>
      <c r="AN4" s="132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</row>
    <row r="5" spans="1:51" ht="17.25" thickBot="1">
      <c r="A5" s="18" t="s">
        <v>169</v>
      </c>
      <c r="B5" s="5" t="s">
        <v>37</v>
      </c>
      <c r="C5" s="130"/>
      <c r="D5" s="130"/>
      <c r="E5" s="139">
        <v>65.5</v>
      </c>
      <c r="F5" s="140">
        <v>58.22</v>
      </c>
      <c r="G5" s="139">
        <v>51</v>
      </c>
      <c r="H5" s="141">
        <v>67.63</v>
      </c>
      <c r="I5" s="139">
        <v>61</v>
      </c>
      <c r="J5" s="141">
        <v>72.03</v>
      </c>
      <c r="K5" s="139">
        <v>67.7</v>
      </c>
      <c r="L5" s="141">
        <v>65.31</v>
      </c>
      <c r="M5" s="142">
        <v>56</v>
      </c>
      <c r="N5" s="140">
        <v>47.65</v>
      </c>
      <c r="O5" s="139">
        <v>46.25</v>
      </c>
      <c r="P5" s="141">
        <v>67.819999999999993</v>
      </c>
      <c r="Q5" s="142">
        <v>61.1</v>
      </c>
      <c r="R5" s="140">
        <v>74</v>
      </c>
      <c r="S5" s="142">
        <v>66.599999999999994</v>
      </c>
      <c r="T5" s="141">
        <v>75.8</v>
      </c>
      <c r="U5" s="143">
        <v>75</v>
      </c>
      <c r="V5" s="141">
        <v>100</v>
      </c>
      <c r="W5" s="142">
        <v>99.2</v>
      </c>
      <c r="X5" s="141">
        <v>108.5</v>
      </c>
      <c r="Y5" s="139">
        <v>0</v>
      </c>
      <c r="Z5" s="141">
        <v>0</v>
      </c>
      <c r="AA5" s="142">
        <v>121</v>
      </c>
      <c r="AB5" s="141">
        <v>143</v>
      </c>
      <c r="AC5" s="142">
        <v>135.5</v>
      </c>
      <c r="AD5" s="141">
        <v>187.5</v>
      </c>
      <c r="AE5" s="128"/>
      <c r="AF5" s="128"/>
      <c r="AG5" s="128"/>
      <c r="AH5" s="128"/>
      <c r="AI5" s="128"/>
      <c r="AJ5" s="132"/>
      <c r="AK5" s="132"/>
      <c r="AL5" s="132"/>
      <c r="AM5" s="132"/>
      <c r="AN5" s="132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</row>
    <row r="6" spans="1:51" ht="17.25" thickBot="1">
      <c r="A6" s="18" t="s">
        <v>170</v>
      </c>
      <c r="B6" s="5" t="s">
        <v>41</v>
      </c>
      <c r="C6" s="130"/>
      <c r="D6" s="130"/>
      <c r="E6" s="139">
        <v>83.5</v>
      </c>
      <c r="F6" s="144">
        <v>64.709999999999994</v>
      </c>
      <c r="G6" s="139">
        <v>56</v>
      </c>
      <c r="H6" s="144">
        <v>50.91</v>
      </c>
      <c r="I6" s="139">
        <v>46.3</v>
      </c>
      <c r="J6" s="144">
        <v>62.77</v>
      </c>
      <c r="K6" s="139">
        <v>58.7</v>
      </c>
      <c r="L6" s="141">
        <v>49.470999999999997</v>
      </c>
      <c r="M6" s="145">
        <v>41.3</v>
      </c>
      <c r="N6" s="144">
        <v>39.14</v>
      </c>
      <c r="O6" s="139">
        <v>35.299999999999997</v>
      </c>
      <c r="P6" s="144">
        <v>73.8</v>
      </c>
      <c r="Q6" s="145">
        <v>65.5</v>
      </c>
      <c r="R6" s="144">
        <v>64.88</v>
      </c>
      <c r="S6" s="142">
        <v>61.1</v>
      </c>
      <c r="T6" s="144">
        <v>63.7</v>
      </c>
      <c r="U6" s="139">
        <v>63.1</v>
      </c>
      <c r="V6" s="144">
        <v>72.3</v>
      </c>
      <c r="W6" s="142">
        <v>64.3</v>
      </c>
      <c r="X6" s="144">
        <v>73.5</v>
      </c>
      <c r="Y6" s="139">
        <v>0</v>
      </c>
      <c r="Z6" s="141">
        <v>0</v>
      </c>
      <c r="AA6" s="142">
        <v>54.2</v>
      </c>
      <c r="AB6" s="144">
        <v>53</v>
      </c>
      <c r="AC6" s="142">
        <v>49.75</v>
      </c>
      <c r="AD6" s="144">
        <v>64.099999999999994</v>
      </c>
      <c r="AE6" s="128"/>
      <c r="AF6" s="128"/>
      <c r="AG6" s="128"/>
      <c r="AH6" s="128"/>
      <c r="AI6" s="128"/>
      <c r="AJ6" s="132"/>
      <c r="AK6" s="132"/>
      <c r="AL6" s="132"/>
      <c r="AM6" s="132"/>
      <c r="AN6" s="132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</row>
    <row r="7" spans="1:51" s="23" customFormat="1" ht="17.25" thickBot="1">
      <c r="A7" s="24" t="s">
        <v>171</v>
      </c>
      <c r="B7" s="25" t="s">
        <v>43</v>
      </c>
      <c r="C7" s="230"/>
      <c r="D7" s="230"/>
      <c r="E7" s="139">
        <v>50.5</v>
      </c>
      <c r="F7" s="146">
        <v>67</v>
      </c>
      <c r="G7" s="139">
        <v>62.5</v>
      </c>
      <c r="H7" s="141">
        <v>61.5</v>
      </c>
      <c r="I7" s="139">
        <v>56.6</v>
      </c>
      <c r="J7" s="141">
        <v>66.11</v>
      </c>
      <c r="K7" s="139">
        <v>60.9</v>
      </c>
      <c r="L7" s="141">
        <v>69.47</v>
      </c>
      <c r="M7" s="142">
        <v>68.2</v>
      </c>
      <c r="N7" s="140">
        <v>69</v>
      </c>
      <c r="O7" s="139">
        <v>61.29</v>
      </c>
      <c r="P7" s="146">
        <v>70.930000000000007</v>
      </c>
      <c r="Q7" s="142">
        <v>0</v>
      </c>
      <c r="R7" s="140">
        <v>0</v>
      </c>
      <c r="S7" s="142">
        <v>98.1</v>
      </c>
      <c r="T7" s="141">
        <v>100</v>
      </c>
      <c r="U7" s="143">
        <v>99.7</v>
      </c>
      <c r="V7" s="141">
        <v>99.96</v>
      </c>
      <c r="W7" s="142">
        <v>93.8</v>
      </c>
      <c r="X7" s="141">
        <v>98.45</v>
      </c>
      <c r="Y7" s="139">
        <v>0</v>
      </c>
      <c r="Z7" s="141">
        <v>0</v>
      </c>
      <c r="AA7" s="142">
        <v>97.5</v>
      </c>
      <c r="AB7" s="141">
        <v>99.1</v>
      </c>
      <c r="AC7" s="142">
        <v>98.7</v>
      </c>
      <c r="AD7" s="141">
        <v>106.99</v>
      </c>
      <c r="AE7" s="231"/>
      <c r="AF7" s="231"/>
      <c r="AG7" s="231"/>
      <c r="AH7" s="231"/>
      <c r="AI7" s="231"/>
      <c r="AJ7" s="236"/>
      <c r="AK7" s="236"/>
      <c r="AL7" s="236"/>
      <c r="AM7" s="236"/>
      <c r="AN7" s="236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</row>
    <row r="8" spans="1:51" ht="17.25" thickBot="1">
      <c r="A8" s="18" t="s">
        <v>172</v>
      </c>
      <c r="B8" s="5" t="s">
        <v>45</v>
      </c>
      <c r="C8" s="130"/>
      <c r="D8" s="130"/>
      <c r="E8" s="139">
        <v>30</v>
      </c>
      <c r="F8" s="140">
        <v>37.880000000000003</v>
      </c>
      <c r="G8" s="139">
        <v>35.200000000000003</v>
      </c>
      <c r="H8" s="141">
        <v>31.17</v>
      </c>
      <c r="I8" s="139">
        <v>28.55</v>
      </c>
      <c r="J8" s="141">
        <v>36.42</v>
      </c>
      <c r="K8" s="139">
        <v>33.4</v>
      </c>
      <c r="L8" s="141">
        <v>45.47</v>
      </c>
      <c r="M8" s="142">
        <v>57.76</v>
      </c>
      <c r="N8" s="140">
        <v>53.64</v>
      </c>
      <c r="O8" s="139">
        <v>46.95</v>
      </c>
      <c r="P8" s="141">
        <v>67.09</v>
      </c>
      <c r="Q8" s="145">
        <v>61.9</v>
      </c>
      <c r="R8" s="140">
        <v>74.73</v>
      </c>
      <c r="S8" s="142">
        <v>78.8</v>
      </c>
      <c r="T8" s="141">
        <v>95.4</v>
      </c>
      <c r="U8" s="143">
        <v>94.3</v>
      </c>
      <c r="V8" s="141">
        <v>112.16</v>
      </c>
      <c r="W8" s="142">
        <v>105</v>
      </c>
      <c r="X8" s="141">
        <v>101.8</v>
      </c>
      <c r="Y8" s="139">
        <v>0</v>
      </c>
      <c r="Z8" s="141">
        <v>0</v>
      </c>
      <c r="AA8" s="142">
        <v>100</v>
      </c>
      <c r="AB8" s="141">
        <v>100</v>
      </c>
      <c r="AC8" s="142">
        <v>97.5</v>
      </c>
      <c r="AD8" s="141">
        <v>109.6</v>
      </c>
      <c r="AE8" s="128"/>
      <c r="AF8" s="128"/>
      <c r="AG8" s="128"/>
      <c r="AH8" s="128"/>
      <c r="AI8" s="128"/>
      <c r="AJ8" s="132"/>
      <c r="AK8" s="132"/>
      <c r="AL8" s="132"/>
      <c r="AM8" s="132"/>
      <c r="AN8" s="132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</row>
    <row r="9" spans="1:51" ht="17.25" thickBot="1">
      <c r="A9" s="18" t="s">
        <v>173</v>
      </c>
      <c r="B9" s="5" t="s">
        <v>16</v>
      </c>
      <c r="C9" s="130"/>
      <c r="D9" s="130"/>
      <c r="E9" s="139">
        <v>56.5</v>
      </c>
      <c r="F9" s="140">
        <v>59.57</v>
      </c>
      <c r="G9" s="139">
        <v>55</v>
      </c>
      <c r="H9" s="141">
        <v>58.644999999999996</v>
      </c>
      <c r="I9" s="139">
        <v>50.1</v>
      </c>
      <c r="J9" s="141">
        <v>59.823</v>
      </c>
      <c r="K9" s="139">
        <v>54.4</v>
      </c>
      <c r="L9" s="141">
        <v>95.5</v>
      </c>
      <c r="M9" s="142">
        <v>92.4</v>
      </c>
      <c r="N9" s="140">
        <v>50.300000000000004</v>
      </c>
      <c r="O9" s="139">
        <v>43.2</v>
      </c>
      <c r="P9" s="141">
        <v>73.810999999999993</v>
      </c>
      <c r="Q9" s="142">
        <v>66.8</v>
      </c>
      <c r="R9" s="140">
        <v>101.5</v>
      </c>
      <c r="S9" s="142">
        <v>89.5</v>
      </c>
      <c r="T9" s="141">
        <v>80.8</v>
      </c>
      <c r="U9" s="143">
        <v>79.2</v>
      </c>
      <c r="V9" s="141">
        <v>82.6</v>
      </c>
      <c r="W9" s="142">
        <v>79.3</v>
      </c>
      <c r="X9" s="141">
        <v>84.92</v>
      </c>
      <c r="Y9" s="139">
        <v>0</v>
      </c>
      <c r="Z9" s="141">
        <v>0</v>
      </c>
      <c r="AA9" s="142">
        <v>66</v>
      </c>
      <c r="AB9" s="141">
        <v>77</v>
      </c>
      <c r="AC9" s="142">
        <v>73</v>
      </c>
      <c r="AD9" s="141">
        <v>92.8</v>
      </c>
      <c r="AE9" s="128"/>
      <c r="AF9" s="128"/>
      <c r="AG9" s="128"/>
      <c r="AH9" s="128"/>
      <c r="AI9" s="128"/>
      <c r="AJ9" s="132"/>
      <c r="AK9" s="132"/>
      <c r="AL9" s="132"/>
      <c r="AM9" s="132"/>
      <c r="AN9" s="132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</row>
    <row r="10" spans="1:51" ht="17.25" thickBot="1">
      <c r="A10" s="18" t="s">
        <v>174</v>
      </c>
      <c r="B10" s="5" t="s">
        <v>21</v>
      </c>
      <c r="C10" s="130"/>
      <c r="D10" s="130"/>
      <c r="E10" s="139">
        <v>44.2</v>
      </c>
      <c r="F10" s="140">
        <v>45.39</v>
      </c>
      <c r="G10" s="139">
        <v>40.200000000000003</v>
      </c>
      <c r="H10" s="141">
        <v>32.47</v>
      </c>
      <c r="I10" s="139">
        <v>27.05</v>
      </c>
      <c r="J10" s="141">
        <v>35.26</v>
      </c>
      <c r="K10" s="139">
        <v>32.299999999999997</v>
      </c>
      <c r="L10" s="141">
        <v>57.46</v>
      </c>
      <c r="M10" s="142">
        <v>51.5</v>
      </c>
      <c r="N10" s="140">
        <v>33.630000000000003</v>
      </c>
      <c r="O10" s="139">
        <v>27.75</v>
      </c>
      <c r="P10" s="141">
        <v>81.849999999999994</v>
      </c>
      <c r="Q10" s="142">
        <v>64.099999999999994</v>
      </c>
      <c r="R10" s="140">
        <v>83.25</v>
      </c>
      <c r="S10" s="142">
        <v>63.2</v>
      </c>
      <c r="T10" s="141">
        <v>65.5</v>
      </c>
      <c r="U10" s="143">
        <v>64.7</v>
      </c>
      <c r="V10" s="141">
        <v>87.36</v>
      </c>
      <c r="W10" s="142">
        <v>74</v>
      </c>
      <c r="X10" s="141">
        <v>91.2</v>
      </c>
      <c r="Y10" s="139">
        <v>0</v>
      </c>
      <c r="Z10" s="141">
        <v>0</v>
      </c>
      <c r="AA10" s="142">
        <v>52.7</v>
      </c>
      <c r="AB10" s="141">
        <v>53.3</v>
      </c>
      <c r="AC10" s="142">
        <v>52.9</v>
      </c>
      <c r="AD10" s="141">
        <v>63.8</v>
      </c>
      <c r="AE10" s="128"/>
      <c r="AF10" s="128"/>
      <c r="AG10" s="128"/>
      <c r="AH10" s="128"/>
      <c r="AI10" s="128"/>
      <c r="AJ10" s="132"/>
      <c r="AK10" s="132"/>
      <c r="AL10" s="132"/>
      <c r="AM10" s="132"/>
      <c r="AN10" s="132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</row>
    <row r="11" spans="1:51" ht="17.25" thickBot="1">
      <c r="A11" s="18" t="s">
        <v>175</v>
      </c>
      <c r="B11" s="5" t="s">
        <v>25</v>
      </c>
      <c r="C11" s="130"/>
      <c r="D11" s="130"/>
      <c r="E11" s="147">
        <v>33.1</v>
      </c>
      <c r="F11" s="148">
        <v>34.1</v>
      </c>
      <c r="G11" s="147">
        <v>32.700000000000003</v>
      </c>
      <c r="H11" s="148">
        <v>29.9</v>
      </c>
      <c r="I11" s="147">
        <v>27.5</v>
      </c>
      <c r="J11" s="148">
        <v>31.65</v>
      </c>
      <c r="K11" s="147">
        <v>31.1</v>
      </c>
      <c r="L11" s="141">
        <v>29.8</v>
      </c>
      <c r="M11" s="142">
        <v>31.1</v>
      </c>
      <c r="N11" s="148">
        <v>25.4</v>
      </c>
      <c r="O11" s="147">
        <v>24.65</v>
      </c>
      <c r="P11" s="148">
        <v>39.299999999999997</v>
      </c>
      <c r="Q11" s="142">
        <v>37.299999999999997</v>
      </c>
      <c r="R11" s="148">
        <v>44</v>
      </c>
      <c r="S11" s="142">
        <v>44.2</v>
      </c>
      <c r="T11" s="148">
        <v>34.65</v>
      </c>
      <c r="U11" s="147">
        <v>31.1</v>
      </c>
      <c r="V11" s="148">
        <v>37.86</v>
      </c>
      <c r="W11" s="142">
        <v>35.5</v>
      </c>
      <c r="X11" s="148">
        <v>44.6</v>
      </c>
      <c r="Y11" s="139">
        <v>0</v>
      </c>
      <c r="Z11" s="141">
        <v>0</v>
      </c>
      <c r="AA11" s="142">
        <v>49.85</v>
      </c>
      <c r="AB11" s="148">
        <v>45</v>
      </c>
      <c r="AC11" s="142">
        <v>41</v>
      </c>
      <c r="AD11" s="148">
        <v>53</v>
      </c>
      <c r="AE11" s="128"/>
      <c r="AF11" s="128"/>
      <c r="AG11" s="128"/>
      <c r="AH11" s="128"/>
      <c r="AI11" s="128"/>
      <c r="AJ11" s="132"/>
      <c r="AK11" s="132"/>
      <c r="AL11" s="132"/>
      <c r="AM11" s="132"/>
      <c r="AN11" s="132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</row>
    <row r="12" spans="1:51" ht="17.25" thickBot="1">
      <c r="A12" s="18" t="s">
        <v>176</v>
      </c>
      <c r="B12" s="5" t="s">
        <v>28</v>
      </c>
      <c r="C12" s="130"/>
      <c r="D12" s="130"/>
      <c r="E12" s="139">
        <v>53.5</v>
      </c>
      <c r="F12" s="140">
        <v>67</v>
      </c>
      <c r="G12" s="139">
        <v>64</v>
      </c>
      <c r="H12" s="141">
        <v>62</v>
      </c>
      <c r="I12" s="139">
        <v>59</v>
      </c>
      <c r="J12" s="141">
        <v>79.19</v>
      </c>
      <c r="K12" s="139">
        <v>76</v>
      </c>
      <c r="L12" s="141">
        <v>69.099999999999994</v>
      </c>
      <c r="M12" s="142">
        <v>69.3</v>
      </c>
      <c r="N12" s="140">
        <v>40.83</v>
      </c>
      <c r="O12" s="139">
        <v>37.5</v>
      </c>
      <c r="P12" s="141">
        <v>59.7</v>
      </c>
      <c r="Q12" s="142">
        <v>56.8</v>
      </c>
      <c r="R12" s="140">
        <v>54.79</v>
      </c>
      <c r="S12" s="142">
        <v>39.1</v>
      </c>
      <c r="T12" s="141">
        <v>32.700000000000003</v>
      </c>
      <c r="U12" s="143">
        <v>31.7</v>
      </c>
      <c r="V12" s="141">
        <v>33.58</v>
      </c>
      <c r="W12" s="142">
        <v>31.8</v>
      </c>
      <c r="X12" s="141">
        <v>52.23</v>
      </c>
      <c r="Y12" s="139">
        <v>0</v>
      </c>
      <c r="Z12" s="141">
        <v>0</v>
      </c>
      <c r="AA12" s="142">
        <v>42.5</v>
      </c>
      <c r="AB12" s="141">
        <v>46.3</v>
      </c>
      <c r="AC12" s="142">
        <v>40.35</v>
      </c>
      <c r="AD12" s="141">
        <v>50.2</v>
      </c>
      <c r="AE12" s="128"/>
      <c r="AF12" s="128"/>
      <c r="AG12" s="128"/>
      <c r="AH12" s="128"/>
      <c r="AI12" s="128"/>
      <c r="AJ12" s="132"/>
      <c r="AK12" s="132"/>
      <c r="AL12" s="132"/>
      <c r="AM12" s="132"/>
      <c r="AN12" s="132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</row>
    <row r="13" spans="1:51" ht="17.25" thickBot="1">
      <c r="A13" s="18" t="s">
        <v>177</v>
      </c>
      <c r="B13" s="5" t="s">
        <v>14</v>
      </c>
      <c r="C13" s="130"/>
      <c r="D13" s="130"/>
      <c r="E13" s="139">
        <v>14.45</v>
      </c>
      <c r="F13" s="140">
        <v>17.2</v>
      </c>
      <c r="G13" s="139">
        <v>16.8</v>
      </c>
      <c r="H13" s="141">
        <v>15.96</v>
      </c>
      <c r="I13" s="139">
        <v>14.8</v>
      </c>
      <c r="J13" s="141">
        <v>33.15</v>
      </c>
      <c r="K13" s="139">
        <v>32.700000000000003</v>
      </c>
      <c r="L13" s="141">
        <v>47.134</v>
      </c>
      <c r="M13" s="142">
        <v>45</v>
      </c>
      <c r="N13" s="140">
        <v>32.35</v>
      </c>
      <c r="O13" s="139">
        <v>28.35</v>
      </c>
      <c r="P13" s="141">
        <v>41.63</v>
      </c>
      <c r="Q13" s="142">
        <v>36.1</v>
      </c>
      <c r="R13" s="140">
        <v>48.38</v>
      </c>
      <c r="S13" s="142">
        <v>42.65</v>
      </c>
      <c r="T13" s="141">
        <v>48.31</v>
      </c>
      <c r="U13" s="143">
        <v>43.3</v>
      </c>
      <c r="V13" s="141">
        <v>58.03</v>
      </c>
      <c r="W13" s="142">
        <v>52.8</v>
      </c>
      <c r="X13" s="141">
        <v>58.32</v>
      </c>
      <c r="Y13" s="139">
        <v>0</v>
      </c>
      <c r="Z13" s="141">
        <v>0</v>
      </c>
      <c r="AA13" s="142">
        <v>56.9</v>
      </c>
      <c r="AB13" s="141">
        <v>54.9</v>
      </c>
      <c r="AC13" s="142">
        <v>54.1</v>
      </c>
      <c r="AD13" s="141">
        <v>55.4</v>
      </c>
      <c r="AE13" s="128"/>
      <c r="AF13" s="128"/>
      <c r="AG13" s="128"/>
      <c r="AH13" s="128"/>
      <c r="AI13" s="128"/>
      <c r="AJ13" s="132"/>
      <c r="AK13" s="132"/>
      <c r="AL13" s="132"/>
      <c r="AM13" s="132"/>
      <c r="AN13" s="132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</row>
    <row r="14" spans="1:51" ht="17.25" thickBot="1">
      <c r="A14" s="18" t="s">
        <v>178</v>
      </c>
      <c r="B14" s="5" t="s">
        <v>34</v>
      </c>
      <c r="C14" s="130"/>
      <c r="D14" s="130"/>
      <c r="E14" s="139">
        <v>35.9</v>
      </c>
      <c r="F14" s="140">
        <v>25.37</v>
      </c>
      <c r="G14" s="139">
        <v>23.8</v>
      </c>
      <c r="H14" s="144">
        <v>33.21</v>
      </c>
      <c r="I14" s="139">
        <v>28.85</v>
      </c>
      <c r="J14" s="144">
        <v>37</v>
      </c>
      <c r="K14" s="139">
        <v>36.950000000000003</v>
      </c>
      <c r="L14" s="141">
        <v>38.79</v>
      </c>
      <c r="M14" s="142">
        <v>28.45</v>
      </c>
      <c r="N14" s="144">
        <v>13.85</v>
      </c>
      <c r="O14" s="139">
        <v>12.2</v>
      </c>
      <c r="P14" s="144">
        <v>29.35</v>
      </c>
      <c r="Q14" s="142">
        <v>27.1</v>
      </c>
      <c r="R14" s="144">
        <v>37.49</v>
      </c>
      <c r="S14" s="142">
        <v>27.65</v>
      </c>
      <c r="T14" s="144">
        <v>25.9</v>
      </c>
      <c r="U14" s="143">
        <v>25.5</v>
      </c>
      <c r="V14" s="144">
        <v>29.38</v>
      </c>
      <c r="W14" s="142">
        <v>24.75</v>
      </c>
      <c r="X14" s="144">
        <v>28.75</v>
      </c>
      <c r="Y14" s="139">
        <v>0</v>
      </c>
      <c r="Z14" s="141">
        <v>0</v>
      </c>
      <c r="AA14" s="142">
        <v>30</v>
      </c>
      <c r="AB14" s="144">
        <v>38</v>
      </c>
      <c r="AC14" s="142">
        <v>36.1</v>
      </c>
      <c r="AD14" s="144">
        <v>34.65</v>
      </c>
      <c r="AE14" s="128"/>
      <c r="AF14" s="128"/>
      <c r="AG14" s="128"/>
      <c r="AH14" s="128"/>
      <c r="AI14" s="128"/>
      <c r="AJ14" s="132"/>
      <c r="AK14" s="132"/>
      <c r="AL14" s="132"/>
      <c r="AM14" s="132"/>
      <c r="AN14" s="132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</row>
    <row r="15" spans="1:51" s="23" customFormat="1" ht="17.25" thickBot="1">
      <c r="A15" s="18" t="s">
        <v>181</v>
      </c>
      <c r="B15" s="5" t="s">
        <v>18</v>
      </c>
      <c r="C15" s="234"/>
      <c r="D15" s="234"/>
      <c r="E15" s="139">
        <v>49.7</v>
      </c>
      <c r="F15" s="140">
        <v>53.32</v>
      </c>
      <c r="G15" s="139">
        <v>48.7</v>
      </c>
      <c r="H15" s="141">
        <v>51.51</v>
      </c>
      <c r="I15" s="139">
        <v>44.6</v>
      </c>
      <c r="J15" s="140">
        <v>59.63</v>
      </c>
      <c r="K15" s="139">
        <v>55.2</v>
      </c>
      <c r="L15" s="141">
        <v>91</v>
      </c>
      <c r="M15" s="142">
        <v>85</v>
      </c>
      <c r="N15" s="140">
        <v>42</v>
      </c>
      <c r="O15" s="139">
        <v>35.299999999999997</v>
      </c>
      <c r="P15" s="141">
        <v>60.85</v>
      </c>
      <c r="Q15" s="142">
        <v>64.3</v>
      </c>
      <c r="R15" s="140">
        <v>74.599999999999994</v>
      </c>
      <c r="S15" s="142">
        <v>69</v>
      </c>
      <c r="T15" s="141">
        <v>60.1</v>
      </c>
      <c r="U15" s="143">
        <v>60</v>
      </c>
      <c r="V15" s="141">
        <v>58.1</v>
      </c>
      <c r="W15" s="142">
        <v>58.5</v>
      </c>
      <c r="X15" s="141">
        <v>69.89</v>
      </c>
      <c r="Y15" s="139">
        <v>0</v>
      </c>
      <c r="Z15" s="141">
        <v>0</v>
      </c>
      <c r="AA15" s="142">
        <v>54.6</v>
      </c>
      <c r="AB15" s="141">
        <v>61</v>
      </c>
      <c r="AC15" s="142">
        <v>57.5</v>
      </c>
      <c r="AD15" s="141">
        <v>74.5</v>
      </c>
      <c r="AE15" s="235"/>
      <c r="AF15" s="235"/>
      <c r="AG15" s="235"/>
      <c r="AH15" s="235"/>
      <c r="AI15" s="235"/>
      <c r="AJ15" s="237"/>
      <c r="AK15" s="237"/>
      <c r="AL15" s="237"/>
      <c r="AM15" s="237"/>
      <c r="AN15" s="237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</row>
    <row r="16" spans="1:51" s="23" customFormat="1" ht="17.25" thickBot="1">
      <c r="A16" s="18" t="s">
        <v>179</v>
      </c>
      <c r="B16" s="5" t="s">
        <v>180</v>
      </c>
      <c r="C16" s="234"/>
      <c r="D16" s="234"/>
      <c r="E16" s="139">
        <v>57</v>
      </c>
      <c r="F16" s="140">
        <v>71.05</v>
      </c>
      <c r="G16" s="139">
        <v>60</v>
      </c>
      <c r="H16" s="141">
        <v>59.79</v>
      </c>
      <c r="I16" s="139">
        <v>52.6</v>
      </c>
      <c r="J16" s="141">
        <v>59.3</v>
      </c>
      <c r="K16" s="139">
        <v>55.2</v>
      </c>
      <c r="L16" s="141">
        <v>90</v>
      </c>
      <c r="M16" s="142">
        <v>81.8</v>
      </c>
      <c r="N16" s="140">
        <v>42.1</v>
      </c>
      <c r="O16" s="139">
        <v>40.1</v>
      </c>
      <c r="P16" s="141">
        <v>73.900000000000006</v>
      </c>
      <c r="Q16" s="142">
        <v>70.099999999999994</v>
      </c>
      <c r="R16" s="140">
        <v>105.7</v>
      </c>
      <c r="S16" s="142">
        <v>82.6</v>
      </c>
      <c r="T16" s="141">
        <v>79.900000000000006</v>
      </c>
      <c r="U16" s="143">
        <v>78.599999999999994</v>
      </c>
      <c r="V16" s="141">
        <v>77.900000000000006</v>
      </c>
      <c r="W16" s="142">
        <v>77.8</v>
      </c>
      <c r="X16" s="141">
        <v>86.5</v>
      </c>
      <c r="Y16" s="139">
        <v>0</v>
      </c>
      <c r="Z16" s="141">
        <v>0</v>
      </c>
      <c r="AA16" s="142">
        <v>64.8</v>
      </c>
      <c r="AB16" s="141">
        <v>74</v>
      </c>
      <c r="AC16" s="142">
        <v>68.599999999999994</v>
      </c>
      <c r="AD16" s="141">
        <v>101.9</v>
      </c>
      <c r="AE16" s="235"/>
      <c r="AF16" s="235"/>
      <c r="AG16" s="235"/>
      <c r="AH16" s="235"/>
      <c r="AI16" s="235"/>
      <c r="AJ16" s="237"/>
      <c r="AK16" s="237"/>
      <c r="AL16" s="237"/>
      <c r="AM16" s="237"/>
      <c r="AN16" s="237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</row>
    <row r="17" spans="1:51" ht="17.25" thickBot="1">
      <c r="A17" s="18" t="s">
        <v>182</v>
      </c>
      <c r="B17" s="5" t="s">
        <v>46</v>
      </c>
      <c r="C17" s="130"/>
      <c r="D17" s="130"/>
      <c r="E17" s="139">
        <v>54</v>
      </c>
      <c r="F17" s="140">
        <v>57.006</v>
      </c>
      <c r="G17" s="139">
        <v>51</v>
      </c>
      <c r="H17" s="141">
        <v>71.8</v>
      </c>
      <c r="I17" s="139">
        <v>67.900000000000006</v>
      </c>
      <c r="J17" s="141">
        <v>82.100000000000009</v>
      </c>
      <c r="K17" s="139">
        <v>78.7</v>
      </c>
      <c r="L17" s="141">
        <v>88.7</v>
      </c>
      <c r="M17" s="145">
        <v>82.7</v>
      </c>
      <c r="N17" s="140">
        <v>81.600000000000009</v>
      </c>
      <c r="O17" s="139">
        <v>79</v>
      </c>
      <c r="P17" s="141">
        <v>88.489599999999996</v>
      </c>
      <c r="Q17" s="145">
        <v>74.8</v>
      </c>
      <c r="R17" s="140">
        <v>138.1</v>
      </c>
      <c r="S17" s="142">
        <v>172.5</v>
      </c>
      <c r="T17" s="141">
        <v>165</v>
      </c>
      <c r="U17" s="143">
        <v>167</v>
      </c>
      <c r="V17" s="141">
        <v>160.30000000000001</v>
      </c>
      <c r="W17" s="142">
        <v>161.5</v>
      </c>
      <c r="X17" s="141">
        <v>211.35</v>
      </c>
      <c r="Y17" s="139">
        <v>0</v>
      </c>
      <c r="Z17" s="141">
        <v>0</v>
      </c>
      <c r="AA17" s="142">
        <v>210.5</v>
      </c>
      <c r="AB17" s="141">
        <v>205.5</v>
      </c>
      <c r="AC17" s="142">
        <v>203.5</v>
      </c>
      <c r="AD17" s="141">
        <v>238.2</v>
      </c>
      <c r="AE17" s="128"/>
      <c r="AF17" s="128"/>
      <c r="AG17" s="128"/>
      <c r="AH17" s="128"/>
      <c r="AI17" s="128"/>
      <c r="AJ17" s="132"/>
      <c r="AK17" s="132"/>
      <c r="AL17" s="132"/>
      <c r="AM17" s="132"/>
      <c r="AN17" s="132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</row>
    <row r="18" spans="1:51" s="23" customFormat="1" ht="17.25" thickBot="1">
      <c r="A18" s="54" t="s">
        <v>183</v>
      </c>
      <c r="B18" s="53" t="s">
        <v>48</v>
      </c>
      <c r="C18" s="234"/>
      <c r="D18" s="234"/>
      <c r="E18" s="139">
        <v>21.3</v>
      </c>
      <c r="F18" s="140">
        <v>23.44</v>
      </c>
      <c r="G18" s="139">
        <v>21.8</v>
      </c>
      <c r="H18" s="141">
        <v>22.88</v>
      </c>
      <c r="I18" s="139">
        <v>21.1</v>
      </c>
      <c r="J18" s="141">
        <v>25.5</v>
      </c>
      <c r="K18" s="139">
        <v>24.35</v>
      </c>
      <c r="L18" s="141">
        <v>21.45</v>
      </c>
      <c r="M18" s="139">
        <v>20</v>
      </c>
      <c r="N18" s="140">
        <v>12.7</v>
      </c>
      <c r="O18" s="139">
        <v>11.6</v>
      </c>
      <c r="P18" s="141">
        <v>18.75</v>
      </c>
      <c r="Q18" s="139">
        <v>18.05</v>
      </c>
      <c r="R18" s="140">
        <v>23.45</v>
      </c>
      <c r="S18" s="139">
        <v>26.6</v>
      </c>
      <c r="T18" s="141">
        <v>21.5</v>
      </c>
      <c r="U18" s="143">
        <v>19.45</v>
      </c>
      <c r="V18" s="141">
        <v>23.79</v>
      </c>
      <c r="W18" s="139">
        <v>23.1</v>
      </c>
      <c r="X18" s="141">
        <v>26.2</v>
      </c>
      <c r="Y18" s="139">
        <v>0</v>
      </c>
      <c r="Z18" s="141">
        <v>0</v>
      </c>
      <c r="AA18" s="139">
        <v>22.55</v>
      </c>
      <c r="AB18" s="141">
        <v>21.25</v>
      </c>
      <c r="AC18" s="139">
        <v>20.55</v>
      </c>
      <c r="AD18" s="141">
        <v>24.5</v>
      </c>
      <c r="AE18" s="235"/>
      <c r="AF18" s="235"/>
      <c r="AG18" s="235"/>
      <c r="AH18" s="235"/>
      <c r="AI18" s="235"/>
      <c r="AJ18" s="237"/>
      <c r="AK18" s="237"/>
      <c r="AL18" s="237"/>
      <c r="AM18" s="237"/>
      <c r="AN18" s="237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</row>
    <row r="19" spans="1:51" s="23" customFormat="1" ht="17.25" thickBot="1">
      <c r="A19" s="18" t="s">
        <v>184</v>
      </c>
      <c r="B19" s="5" t="s">
        <v>50</v>
      </c>
      <c r="C19" s="234"/>
      <c r="D19" s="234"/>
      <c r="E19" s="139">
        <v>25.3</v>
      </c>
      <c r="F19" s="140">
        <v>27.2</v>
      </c>
      <c r="G19" s="139">
        <v>27.3</v>
      </c>
      <c r="H19" s="141">
        <v>25.43</v>
      </c>
      <c r="I19" s="139">
        <v>22.95</v>
      </c>
      <c r="J19" s="141">
        <v>26.62</v>
      </c>
      <c r="K19" s="139">
        <v>25.2</v>
      </c>
      <c r="L19" s="141">
        <v>25.43</v>
      </c>
      <c r="M19" s="142">
        <v>24.8</v>
      </c>
      <c r="N19" s="140">
        <v>19.16</v>
      </c>
      <c r="O19" s="139">
        <v>17.7</v>
      </c>
      <c r="P19" s="141">
        <v>20.85</v>
      </c>
      <c r="Q19" s="142">
        <v>18.55</v>
      </c>
      <c r="R19" s="140">
        <v>28.02</v>
      </c>
      <c r="S19" s="142">
        <v>23.8</v>
      </c>
      <c r="T19" s="141">
        <v>17.75</v>
      </c>
      <c r="U19" s="143">
        <v>17.149999999999999</v>
      </c>
      <c r="V19" s="141">
        <v>19.16</v>
      </c>
      <c r="W19" s="142">
        <v>17.5</v>
      </c>
      <c r="X19" s="141">
        <v>20.21</v>
      </c>
      <c r="Y19" s="139">
        <v>0</v>
      </c>
      <c r="Z19" s="141">
        <v>0</v>
      </c>
      <c r="AA19" s="142">
        <v>15.4</v>
      </c>
      <c r="AB19" s="141">
        <v>15.3</v>
      </c>
      <c r="AC19" s="142">
        <v>14.95</v>
      </c>
      <c r="AD19" s="141">
        <v>18.920000000000002</v>
      </c>
      <c r="AE19" s="235"/>
      <c r="AF19" s="235"/>
      <c r="AG19" s="235"/>
      <c r="AH19" s="235"/>
      <c r="AI19" s="235"/>
      <c r="AJ19" s="237"/>
      <c r="AK19" s="237"/>
      <c r="AL19" s="237"/>
      <c r="AM19" s="237"/>
      <c r="AN19" s="237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</row>
    <row r="20" spans="1:51" s="23" customFormat="1" ht="17.25" thickBot="1">
      <c r="A20" s="18" t="s">
        <v>185</v>
      </c>
      <c r="B20" s="5" t="s">
        <v>186</v>
      </c>
      <c r="C20" s="234"/>
      <c r="D20" s="234"/>
      <c r="E20" s="139">
        <v>54</v>
      </c>
      <c r="F20" s="140">
        <v>62.75</v>
      </c>
      <c r="G20" s="139">
        <v>59</v>
      </c>
      <c r="H20" s="141">
        <v>65.302000000000007</v>
      </c>
      <c r="I20" s="139">
        <v>58.7</v>
      </c>
      <c r="J20" s="141">
        <v>78.447999999999993</v>
      </c>
      <c r="K20" s="139">
        <v>73.400000000000006</v>
      </c>
      <c r="L20" s="141">
        <v>101.4</v>
      </c>
      <c r="M20" s="142">
        <v>92.3</v>
      </c>
      <c r="N20" s="140">
        <v>74.5</v>
      </c>
      <c r="O20" s="139">
        <v>68.2</v>
      </c>
      <c r="P20" s="141">
        <v>86.072000000000003</v>
      </c>
      <c r="Q20" s="142">
        <v>82.8</v>
      </c>
      <c r="R20" s="140">
        <v>102.7</v>
      </c>
      <c r="S20" s="142">
        <v>88.5</v>
      </c>
      <c r="T20" s="141">
        <v>93.8</v>
      </c>
      <c r="U20" s="143">
        <v>90.7</v>
      </c>
      <c r="V20" s="141">
        <v>88</v>
      </c>
      <c r="W20" s="142">
        <v>83.2</v>
      </c>
      <c r="X20" s="141">
        <v>82.06</v>
      </c>
      <c r="Y20" s="139">
        <v>0</v>
      </c>
      <c r="Z20" s="141">
        <v>0</v>
      </c>
      <c r="AA20" s="142">
        <v>70.900000000000006</v>
      </c>
      <c r="AB20" s="141">
        <v>78.8</v>
      </c>
      <c r="AC20" s="142">
        <v>77</v>
      </c>
      <c r="AD20" s="141">
        <v>116</v>
      </c>
      <c r="AE20" s="235"/>
      <c r="AF20" s="235"/>
      <c r="AG20" s="235"/>
      <c r="AH20" s="235"/>
      <c r="AI20" s="235"/>
      <c r="AJ20" s="237"/>
      <c r="AK20" s="237"/>
      <c r="AL20" s="237"/>
      <c r="AM20" s="237"/>
      <c r="AN20" s="237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</row>
    <row r="21" spans="1:51" s="23" customFormat="1" ht="17.25" thickBot="1">
      <c r="A21" s="18" t="s">
        <v>187</v>
      </c>
      <c r="B21" s="5" t="s">
        <v>54</v>
      </c>
      <c r="C21" s="130"/>
      <c r="D21" s="130"/>
      <c r="E21" s="139">
        <v>0</v>
      </c>
      <c r="F21" s="140">
        <v>0</v>
      </c>
      <c r="G21" s="139">
        <v>0</v>
      </c>
      <c r="H21" s="141">
        <v>0</v>
      </c>
      <c r="I21" s="139">
        <v>36.9</v>
      </c>
      <c r="J21" s="141">
        <v>40.049999999999997</v>
      </c>
      <c r="K21" s="139">
        <v>36.9</v>
      </c>
      <c r="L21" s="141">
        <v>44.1</v>
      </c>
      <c r="M21" s="139">
        <v>42.15</v>
      </c>
      <c r="N21" s="140">
        <v>42.32</v>
      </c>
      <c r="O21" s="139">
        <v>37.25</v>
      </c>
      <c r="P21" s="141">
        <v>40.950000000000003</v>
      </c>
      <c r="Q21" s="139">
        <v>38.15</v>
      </c>
      <c r="R21" s="140">
        <v>45.1</v>
      </c>
      <c r="S21" s="139">
        <v>45.5</v>
      </c>
      <c r="T21" s="141">
        <v>56.9</v>
      </c>
      <c r="U21" s="143">
        <v>56.8</v>
      </c>
      <c r="V21" s="141">
        <v>77.099999999999994</v>
      </c>
      <c r="W21" s="139">
        <v>72.3</v>
      </c>
      <c r="X21" s="141">
        <v>69</v>
      </c>
      <c r="Y21" s="139">
        <v>0</v>
      </c>
      <c r="Z21" s="141">
        <v>0</v>
      </c>
      <c r="AA21" s="139">
        <v>73</v>
      </c>
      <c r="AB21" s="141">
        <v>67.599999999999994</v>
      </c>
      <c r="AC21" s="139">
        <v>65.3</v>
      </c>
      <c r="AD21" s="141">
        <v>76.25</v>
      </c>
      <c r="AE21" s="235"/>
      <c r="AF21" s="235"/>
      <c r="AG21" s="235"/>
      <c r="AH21" s="235"/>
      <c r="AI21" s="235"/>
      <c r="AJ21" s="237"/>
      <c r="AK21" s="237"/>
      <c r="AL21" s="237"/>
      <c r="AM21" s="237"/>
      <c r="AN21" s="237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</row>
    <row r="22" spans="1:51">
      <c r="A22" s="19"/>
      <c r="E22" s="134"/>
      <c r="F22" s="134"/>
      <c r="G22" s="134"/>
      <c r="H22" s="134"/>
      <c r="I22" s="134"/>
      <c r="J22" s="134"/>
      <c r="K22" s="134"/>
      <c r="L22" s="134"/>
      <c r="M22" s="135"/>
      <c r="N22" s="134"/>
      <c r="O22" s="134"/>
      <c r="P22" s="134"/>
      <c r="Q22" s="135"/>
      <c r="R22" s="134"/>
      <c r="S22" s="135"/>
      <c r="T22" s="134"/>
      <c r="U22" s="134"/>
      <c r="V22" s="134"/>
      <c r="W22" s="135"/>
      <c r="X22" s="134"/>
      <c r="Y22" s="134"/>
      <c r="Z22" s="134"/>
      <c r="AA22" s="135"/>
      <c r="AB22" s="134"/>
      <c r="AC22" s="135"/>
      <c r="AD22" s="134"/>
      <c r="AE22" s="134"/>
      <c r="AF22" s="134"/>
      <c r="AG22" s="134"/>
      <c r="AH22" s="134"/>
      <c r="AI22" s="134"/>
    </row>
    <row r="24" spans="1:51">
      <c r="A24" s="19"/>
    </row>
    <row r="25" spans="1:51">
      <c r="A25" s="19"/>
    </row>
    <row r="26" spans="1:51">
      <c r="A26" s="19"/>
    </row>
    <row r="27" spans="1:51">
      <c r="A27" s="19"/>
    </row>
    <row r="28" spans="1:51">
      <c r="A28" s="19"/>
    </row>
    <row r="29" spans="1:51">
      <c r="A29" s="19"/>
    </row>
    <row r="30" spans="1:51">
      <c r="A30" s="19"/>
    </row>
    <row r="31" spans="1:51">
      <c r="A31" s="19"/>
    </row>
    <row r="32" spans="1:51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  <row r="45" spans="1:1">
      <c r="A45" s="19"/>
    </row>
    <row r="46" spans="1:1">
      <c r="A46" s="19"/>
    </row>
    <row r="47" spans="1:1">
      <c r="A47" s="19"/>
    </row>
    <row r="48" spans="1:1">
      <c r="A48" s="19"/>
    </row>
    <row r="49" spans="1:1">
      <c r="A49" s="19"/>
    </row>
    <row r="50" spans="1:1">
      <c r="A50" s="19"/>
    </row>
    <row r="51" spans="1:1">
      <c r="A51" s="19"/>
    </row>
  </sheetData>
  <sheetProtection password="CC39" sheet="1" formatCells="0" formatColumns="0" formatRows="0"/>
  <phoneticPr fontId="16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7030A0"/>
  </sheetPr>
  <dimension ref="A1:AZ49"/>
  <sheetViews>
    <sheetView workbookViewId="0" xr3:uid="{9B253EF2-77E0-53E3-AE26-4D66ECD923F3}">
      <pane xSplit="2" ySplit="1" topLeftCell="C2" activePane="bottomRight" state="frozen"/>
      <selection pane="bottomRight" activeCell="K24" sqref="K24"/>
      <selection pane="bottomLeft" activeCell="A2" sqref="A2"/>
      <selection pane="topRight" activeCell="C1" sqref="C1"/>
    </sheetView>
  </sheetViews>
  <sheetFormatPr defaultRowHeight="16.5"/>
  <cols>
    <col min="1" max="1" width="5.75" style="21" customWidth="1"/>
    <col min="2" max="2" width="6.875" style="20" customWidth="1"/>
    <col min="3" max="3" width="6.625" customWidth="1"/>
    <col min="13" max="13" width="8.875" style="55" customWidth="1"/>
    <col min="19" max="19" width="8.875" style="55" customWidth="1"/>
    <col min="23" max="23" width="8.875" style="55" customWidth="1"/>
    <col min="27" max="27" width="8.875" style="55" customWidth="1"/>
  </cols>
  <sheetData>
    <row r="1" spans="1:52" s="4" customFormat="1" ht="36" customHeight="1" thickBot="1">
      <c r="A1" s="16" t="s">
        <v>144</v>
      </c>
      <c r="B1" s="22" t="s">
        <v>145</v>
      </c>
      <c r="C1" s="69" t="s">
        <v>188</v>
      </c>
      <c r="D1" s="66" t="s">
        <v>146</v>
      </c>
      <c r="E1" s="66" t="s">
        <v>147</v>
      </c>
      <c r="F1" s="61" t="s">
        <v>148</v>
      </c>
      <c r="G1" s="66" t="s">
        <v>149</v>
      </c>
      <c r="H1" s="66" t="s">
        <v>148</v>
      </c>
      <c r="I1" s="66" t="s">
        <v>150</v>
      </c>
      <c r="J1" s="66" t="s">
        <v>148</v>
      </c>
      <c r="K1" s="66" t="s">
        <v>202</v>
      </c>
      <c r="L1" s="66" t="s">
        <v>148</v>
      </c>
      <c r="M1" s="67" t="s">
        <v>203</v>
      </c>
      <c r="N1" s="66" t="s">
        <v>148</v>
      </c>
      <c r="O1" s="66" t="s">
        <v>153</v>
      </c>
      <c r="P1" s="66" t="s">
        <v>148</v>
      </c>
      <c r="Q1" s="61" t="s">
        <v>154</v>
      </c>
      <c r="R1" s="66" t="s">
        <v>148</v>
      </c>
      <c r="S1" s="67" t="s">
        <v>199</v>
      </c>
      <c r="T1" s="66" t="s">
        <v>148</v>
      </c>
      <c r="U1" s="66" t="s">
        <v>156</v>
      </c>
      <c r="V1" s="66" t="s">
        <v>148</v>
      </c>
      <c r="W1" s="67" t="s">
        <v>193</v>
      </c>
      <c r="X1" s="66" t="s">
        <v>148</v>
      </c>
      <c r="Y1" s="67" t="s">
        <v>204</v>
      </c>
      <c r="Z1" s="66" t="s">
        <v>148</v>
      </c>
      <c r="AA1" s="67" t="s">
        <v>205</v>
      </c>
      <c r="AB1" s="66" t="s">
        <v>148</v>
      </c>
      <c r="AC1" s="66" t="s">
        <v>206</v>
      </c>
      <c r="AD1" s="66" t="s">
        <v>148</v>
      </c>
      <c r="AE1" s="66" t="s">
        <v>161</v>
      </c>
      <c r="AF1" s="66" t="s">
        <v>146</v>
      </c>
      <c r="AG1" s="61" t="s">
        <v>162</v>
      </c>
      <c r="AH1" s="61" t="s">
        <v>146</v>
      </c>
      <c r="AI1" s="61" t="s">
        <v>163</v>
      </c>
      <c r="AJ1" s="61" t="s">
        <v>146</v>
      </c>
      <c r="AK1" s="61" t="s">
        <v>164</v>
      </c>
      <c r="AL1" s="61" t="s">
        <v>146</v>
      </c>
      <c r="AM1" s="61" t="s">
        <v>165</v>
      </c>
      <c r="AN1" s="61" t="s">
        <v>146</v>
      </c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</row>
    <row r="2" spans="1:52" ht="17.25" thickBot="1">
      <c r="A2" s="18" t="s">
        <v>166</v>
      </c>
      <c r="B2" s="131" t="s">
        <v>31</v>
      </c>
      <c r="C2" s="130"/>
      <c r="D2" s="130"/>
      <c r="E2" s="139">
        <v>44.6</v>
      </c>
      <c r="F2" s="140">
        <v>61.05</v>
      </c>
      <c r="G2" s="139">
        <v>55</v>
      </c>
      <c r="H2" s="141">
        <v>72.94</v>
      </c>
      <c r="I2" s="139">
        <v>65.599999999999994</v>
      </c>
      <c r="J2" s="141">
        <v>113.25</v>
      </c>
      <c r="K2" s="139">
        <v>107.5</v>
      </c>
      <c r="L2" s="149">
        <v>121.05</v>
      </c>
      <c r="M2" s="139">
        <v>103</v>
      </c>
      <c r="N2" s="140">
        <v>70.27</v>
      </c>
      <c r="O2" s="139">
        <v>66.900000000000006</v>
      </c>
      <c r="P2" s="141">
        <v>105.5</v>
      </c>
      <c r="Q2" s="139">
        <v>100.5</v>
      </c>
      <c r="R2" s="140">
        <v>146.69999999999999</v>
      </c>
      <c r="S2" s="139">
        <v>95.6</v>
      </c>
      <c r="T2" s="141">
        <v>72</v>
      </c>
      <c r="U2" s="143">
        <v>71.5</v>
      </c>
      <c r="V2" s="141">
        <v>109.99</v>
      </c>
      <c r="W2" s="139">
        <v>106</v>
      </c>
      <c r="X2" s="141">
        <v>175.29</v>
      </c>
      <c r="Y2" s="139">
        <v>158.5</v>
      </c>
      <c r="Z2" s="149">
        <v>194.3</v>
      </c>
      <c r="AA2" s="139">
        <v>157</v>
      </c>
      <c r="AB2" s="141">
        <v>155.5</v>
      </c>
      <c r="AC2" s="139">
        <v>149</v>
      </c>
      <c r="AD2" s="141">
        <v>164.5</v>
      </c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</row>
    <row r="3" spans="1:52" ht="17.25" thickBot="1">
      <c r="A3" s="18" t="s">
        <v>167</v>
      </c>
      <c r="B3" s="131" t="s">
        <v>35</v>
      </c>
      <c r="C3" s="130"/>
      <c r="D3" s="130"/>
      <c r="E3" s="139">
        <v>136.5</v>
      </c>
      <c r="F3" s="140">
        <v>171.05</v>
      </c>
      <c r="G3" s="139">
        <v>145.5</v>
      </c>
      <c r="H3" s="141">
        <v>217.73</v>
      </c>
      <c r="I3" s="139">
        <v>181.5</v>
      </c>
      <c r="J3" s="141">
        <v>282</v>
      </c>
      <c r="K3" s="139">
        <v>237.5</v>
      </c>
      <c r="L3" s="149">
        <v>245.4</v>
      </c>
      <c r="M3" s="139">
        <v>187</v>
      </c>
      <c r="N3" s="141">
        <v>76.83</v>
      </c>
      <c r="O3" s="139">
        <v>68.599999999999994</v>
      </c>
      <c r="P3" s="141">
        <v>175.33</v>
      </c>
      <c r="Q3" s="139">
        <v>151.5</v>
      </c>
      <c r="R3" s="140">
        <v>133.6</v>
      </c>
      <c r="S3" s="139">
        <v>73.099999999999994</v>
      </c>
      <c r="T3" s="141">
        <v>82.9</v>
      </c>
      <c r="U3" s="143">
        <v>81.400000000000006</v>
      </c>
      <c r="V3" s="141">
        <v>99.29</v>
      </c>
      <c r="W3" s="139">
        <v>84</v>
      </c>
      <c r="X3" s="141">
        <v>89.61</v>
      </c>
      <c r="Y3" s="139">
        <v>81.3</v>
      </c>
      <c r="Z3" s="149">
        <v>100.248</v>
      </c>
      <c r="AA3" s="139">
        <v>86.5</v>
      </c>
      <c r="AB3" s="141">
        <v>88.64</v>
      </c>
      <c r="AC3" s="139">
        <v>79</v>
      </c>
      <c r="AD3" s="141">
        <v>96.62</v>
      </c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</row>
    <row r="4" spans="1:52" ht="17.25" thickBot="1">
      <c r="A4" s="18" t="s">
        <v>168</v>
      </c>
      <c r="B4" s="131" t="s">
        <v>39</v>
      </c>
      <c r="C4" s="130"/>
      <c r="D4" s="130"/>
      <c r="E4" s="139">
        <v>37</v>
      </c>
      <c r="F4" s="140">
        <v>29.17</v>
      </c>
      <c r="G4" s="139">
        <v>26.3</v>
      </c>
      <c r="H4" s="144">
        <v>50.48</v>
      </c>
      <c r="I4" s="139">
        <v>43.4</v>
      </c>
      <c r="J4" s="144">
        <v>57.78</v>
      </c>
      <c r="K4" s="139">
        <v>50.5</v>
      </c>
      <c r="L4" s="149">
        <v>62.815999999999995</v>
      </c>
      <c r="M4" s="139">
        <v>55.1</v>
      </c>
      <c r="N4" s="140">
        <v>32.78</v>
      </c>
      <c r="O4" s="139">
        <v>29.95</v>
      </c>
      <c r="P4" s="144">
        <v>45.15</v>
      </c>
      <c r="Q4" s="139">
        <v>43.35</v>
      </c>
      <c r="R4" s="140">
        <v>37.58</v>
      </c>
      <c r="S4" s="139">
        <v>25.8</v>
      </c>
      <c r="T4" s="144">
        <v>28.72</v>
      </c>
      <c r="U4" s="143">
        <v>26.8</v>
      </c>
      <c r="V4" s="144">
        <v>32.42</v>
      </c>
      <c r="W4" s="139">
        <v>30.65</v>
      </c>
      <c r="X4" s="144">
        <v>37.25</v>
      </c>
      <c r="Y4" s="139">
        <v>35.4</v>
      </c>
      <c r="Z4" s="149">
        <v>49.75</v>
      </c>
      <c r="AA4" s="139">
        <v>34.85</v>
      </c>
      <c r="AB4" s="144">
        <v>53.3</v>
      </c>
      <c r="AC4" s="139">
        <v>51.6</v>
      </c>
      <c r="AD4" s="144">
        <v>51.65</v>
      </c>
      <c r="AE4" s="132"/>
      <c r="AF4" s="132"/>
      <c r="AG4" s="132"/>
      <c r="AH4" s="132"/>
      <c r="AI4" s="132"/>
      <c r="AJ4" s="132"/>
      <c r="AK4" s="132"/>
      <c r="AL4" s="132"/>
      <c r="AM4" s="132"/>
      <c r="AN4" s="132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</row>
    <row r="5" spans="1:52" ht="17.25" thickBot="1">
      <c r="A5" s="18" t="s">
        <v>169</v>
      </c>
      <c r="B5" s="5" t="s">
        <v>37</v>
      </c>
      <c r="C5" s="130"/>
      <c r="D5" s="130"/>
      <c r="E5" s="139">
        <v>65.5</v>
      </c>
      <c r="F5" s="140">
        <v>58.22</v>
      </c>
      <c r="G5" s="139">
        <v>51</v>
      </c>
      <c r="H5" s="141">
        <v>67.63</v>
      </c>
      <c r="I5" s="139">
        <v>61</v>
      </c>
      <c r="J5" s="141">
        <v>72.03</v>
      </c>
      <c r="K5" s="139">
        <v>67.7</v>
      </c>
      <c r="L5" s="149">
        <v>65.31</v>
      </c>
      <c r="M5" s="139">
        <v>59.4</v>
      </c>
      <c r="N5" s="140">
        <v>47.65</v>
      </c>
      <c r="O5" s="139">
        <v>46.25</v>
      </c>
      <c r="P5" s="141">
        <v>67.819999999999993</v>
      </c>
      <c r="Q5" s="139">
        <v>64.900000000000006</v>
      </c>
      <c r="R5" s="140">
        <v>74</v>
      </c>
      <c r="S5" s="139">
        <v>66.599999999999994</v>
      </c>
      <c r="T5" s="141">
        <v>75.8</v>
      </c>
      <c r="U5" s="143">
        <v>75</v>
      </c>
      <c r="V5" s="141">
        <v>100</v>
      </c>
      <c r="W5" s="139">
        <v>99.2</v>
      </c>
      <c r="X5" s="141">
        <v>108.5</v>
      </c>
      <c r="Y5" s="139">
        <v>100.5</v>
      </c>
      <c r="Z5" s="149">
        <v>144</v>
      </c>
      <c r="AA5" s="139">
        <v>128.5</v>
      </c>
      <c r="AB5" s="141">
        <v>143</v>
      </c>
      <c r="AC5" s="139">
        <v>139.5</v>
      </c>
      <c r="AD5" s="141">
        <v>187.5</v>
      </c>
      <c r="AE5" s="132"/>
      <c r="AF5" s="132"/>
      <c r="AG5" s="132"/>
      <c r="AH5" s="132"/>
      <c r="AI5" s="132"/>
      <c r="AJ5" s="132"/>
      <c r="AK5" s="132"/>
      <c r="AL5" s="132"/>
      <c r="AM5" s="132"/>
      <c r="AN5" s="132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</row>
    <row r="6" spans="1:52" ht="17.25" thickBot="1">
      <c r="A6" s="18" t="s">
        <v>170</v>
      </c>
      <c r="B6" s="5" t="s">
        <v>41</v>
      </c>
      <c r="C6" s="130"/>
      <c r="D6" s="130"/>
      <c r="E6" s="139">
        <v>83.5</v>
      </c>
      <c r="F6" s="144">
        <v>64.709999999999994</v>
      </c>
      <c r="G6" s="139">
        <v>56</v>
      </c>
      <c r="H6" s="144">
        <v>50.91</v>
      </c>
      <c r="I6" s="139">
        <v>46.3</v>
      </c>
      <c r="J6" s="144">
        <v>62.77</v>
      </c>
      <c r="K6" s="139">
        <v>58.7</v>
      </c>
      <c r="L6" s="149">
        <v>49.470999999999997</v>
      </c>
      <c r="M6" s="143">
        <v>44.4</v>
      </c>
      <c r="N6" s="144">
        <v>39.14</v>
      </c>
      <c r="O6" s="139">
        <v>35.299999999999997</v>
      </c>
      <c r="P6" s="144">
        <v>73.8</v>
      </c>
      <c r="Q6" s="139">
        <v>68.900000000000006</v>
      </c>
      <c r="R6" s="144">
        <v>64.88</v>
      </c>
      <c r="S6" s="139">
        <v>61.1</v>
      </c>
      <c r="T6" s="144">
        <v>63.7</v>
      </c>
      <c r="U6" s="139">
        <v>63.1</v>
      </c>
      <c r="V6" s="144">
        <v>72.3</v>
      </c>
      <c r="W6" s="139">
        <v>64.3</v>
      </c>
      <c r="X6" s="144">
        <v>73.5</v>
      </c>
      <c r="Y6" s="139">
        <v>74.400000000000006</v>
      </c>
      <c r="Z6" s="149">
        <v>83</v>
      </c>
      <c r="AA6" s="139">
        <v>57</v>
      </c>
      <c r="AB6" s="144">
        <v>53</v>
      </c>
      <c r="AC6" s="139">
        <v>50.6</v>
      </c>
      <c r="AD6" s="144">
        <v>64.099999999999994</v>
      </c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</row>
    <row r="7" spans="1:52" s="23" customFormat="1" ht="17.25" thickBot="1">
      <c r="A7" s="24" t="s">
        <v>171</v>
      </c>
      <c r="B7" s="25" t="s">
        <v>43</v>
      </c>
      <c r="C7" s="230"/>
      <c r="D7" s="230"/>
      <c r="E7" s="139">
        <v>50.5</v>
      </c>
      <c r="F7" s="146">
        <v>67</v>
      </c>
      <c r="G7" s="139">
        <v>62.5</v>
      </c>
      <c r="H7" s="141">
        <v>61.5</v>
      </c>
      <c r="I7" s="139">
        <v>56.6</v>
      </c>
      <c r="J7" s="141">
        <v>66.11</v>
      </c>
      <c r="K7" s="139">
        <v>60.9</v>
      </c>
      <c r="L7" s="149">
        <v>69.47</v>
      </c>
      <c r="M7" s="139">
        <v>0</v>
      </c>
      <c r="N7" s="140">
        <v>69</v>
      </c>
      <c r="O7" s="139">
        <v>61.29</v>
      </c>
      <c r="P7" s="146">
        <v>70.930000000000007</v>
      </c>
      <c r="Q7" s="139">
        <v>65.23</v>
      </c>
      <c r="R7" s="140">
        <v>0</v>
      </c>
      <c r="S7" s="139">
        <v>98.1</v>
      </c>
      <c r="T7" s="141">
        <v>100</v>
      </c>
      <c r="U7" s="143">
        <v>99.7</v>
      </c>
      <c r="V7" s="141">
        <v>99.96</v>
      </c>
      <c r="W7" s="139">
        <v>93.8</v>
      </c>
      <c r="X7" s="141">
        <v>98.45</v>
      </c>
      <c r="Y7" s="139">
        <v>90.3</v>
      </c>
      <c r="Z7" s="149">
        <v>98.53</v>
      </c>
      <c r="AA7" s="139">
        <v>99</v>
      </c>
      <c r="AB7" s="141">
        <v>99.1</v>
      </c>
      <c r="AC7" s="139">
        <v>98.2</v>
      </c>
      <c r="AD7" s="141">
        <v>106.99</v>
      </c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</row>
    <row r="8" spans="1:52" ht="17.25" thickBot="1">
      <c r="A8" s="18" t="s">
        <v>172</v>
      </c>
      <c r="B8" s="5" t="s">
        <v>45</v>
      </c>
      <c r="C8" s="130"/>
      <c r="D8" s="130"/>
      <c r="E8" s="139">
        <v>30</v>
      </c>
      <c r="F8" s="140">
        <v>37.880000000000003</v>
      </c>
      <c r="G8" s="139">
        <v>35.200000000000003</v>
      </c>
      <c r="H8" s="141">
        <v>31.17</v>
      </c>
      <c r="I8" s="139">
        <v>28.55</v>
      </c>
      <c r="J8" s="141">
        <v>36.42</v>
      </c>
      <c r="K8" s="139">
        <v>33.4</v>
      </c>
      <c r="L8" s="149">
        <v>45.47</v>
      </c>
      <c r="M8" s="139">
        <v>56.84</v>
      </c>
      <c r="N8" s="140">
        <v>53.64</v>
      </c>
      <c r="O8" s="139">
        <v>46.95</v>
      </c>
      <c r="P8" s="141">
        <v>67.09</v>
      </c>
      <c r="Q8" s="139">
        <v>62.7</v>
      </c>
      <c r="R8" s="140">
        <v>74.73</v>
      </c>
      <c r="S8" s="139">
        <v>78.8</v>
      </c>
      <c r="T8" s="141">
        <v>95.4</v>
      </c>
      <c r="U8" s="143">
        <v>94.3</v>
      </c>
      <c r="V8" s="141">
        <v>112.16</v>
      </c>
      <c r="W8" s="139">
        <v>105</v>
      </c>
      <c r="X8" s="141">
        <v>101.8</v>
      </c>
      <c r="Y8" s="139">
        <v>85</v>
      </c>
      <c r="Z8" s="149">
        <v>110.1</v>
      </c>
      <c r="AA8" s="139">
        <v>102</v>
      </c>
      <c r="AB8" s="141">
        <v>100</v>
      </c>
      <c r="AC8" s="139">
        <v>98</v>
      </c>
      <c r="AD8" s="141">
        <v>109.6</v>
      </c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</row>
    <row r="9" spans="1:52" ht="17.25" thickBot="1">
      <c r="A9" s="18" t="s">
        <v>173</v>
      </c>
      <c r="B9" s="5" t="s">
        <v>16</v>
      </c>
      <c r="C9" s="130"/>
      <c r="D9" s="130"/>
      <c r="E9" s="139">
        <v>56.5</v>
      </c>
      <c r="F9" s="140">
        <v>59.57</v>
      </c>
      <c r="G9" s="139">
        <v>55</v>
      </c>
      <c r="H9" s="141">
        <v>58.644999999999996</v>
      </c>
      <c r="I9" s="139">
        <v>50.1</v>
      </c>
      <c r="J9" s="141">
        <v>59.823</v>
      </c>
      <c r="K9" s="139">
        <v>54.4</v>
      </c>
      <c r="L9" s="149">
        <v>95.5</v>
      </c>
      <c r="M9" s="139">
        <v>88.5</v>
      </c>
      <c r="N9" s="140">
        <v>50.300000000000004</v>
      </c>
      <c r="O9" s="139">
        <v>43.2</v>
      </c>
      <c r="P9" s="141">
        <v>73.810999999999993</v>
      </c>
      <c r="Q9" s="139">
        <v>67</v>
      </c>
      <c r="R9" s="140">
        <v>101.5</v>
      </c>
      <c r="S9" s="139">
        <v>89.5</v>
      </c>
      <c r="T9" s="141">
        <v>80.8</v>
      </c>
      <c r="U9" s="143">
        <v>79.2</v>
      </c>
      <c r="V9" s="141">
        <v>82.6</v>
      </c>
      <c r="W9" s="139">
        <v>79.3</v>
      </c>
      <c r="X9" s="141">
        <v>84.92</v>
      </c>
      <c r="Y9" s="139">
        <v>75.3</v>
      </c>
      <c r="Z9" s="149">
        <v>74.2</v>
      </c>
      <c r="AA9" s="139">
        <v>68.7</v>
      </c>
      <c r="AB9" s="141">
        <v>77</v>
      </c>
      <c r="AC9" s="139">
        <v>72.400000000000006</v>
      </c>
      <c r="AD9" s="141">
        <v>92.8</v>
      </c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</row>
    <row r="10" spans="1:52" ht="17.25" thickBot="1">
      <c r="A10" s="18" t="s">
        <v>174</v>
      </c>
      <c r="B10" s="5" t="s">
        <v>21</v>
      </c>
      <c r="C10" s="130"/>
      <c r="D10" s="130"/>
      <c r="E10" s="139">
        <v>44.2</v>
      </c>
      <c r="F10" s="140">
        <v>45.39</v>
      </c>
      <c r="G10" s="139">
        <v>40.200000000000003</v>
      </c>
      <c r="H10" s="141">
        <v>32.47</v>
      </c>
      <c r="I10" s="139">
        <v>27.05</v>
      </c>
      <c r="J10" s="141">
        <v>35.26</v>
      </c>
      <c r="K10" s="139">
        <v>32.299999999999997</v>
      </c>
      <c r="L10" s="149">
        <v>57.46</v>
      </c>
      <c r="M10" s="139">
        <v>49.85</v>
      </c>
      <c r="N10" s="140">
        <v>33.630000000000003</v>
      </c>
      <c r="O10" s="139">
        <v>27.75</v>
      </c>
      <c r="P10" s="141">
        <v>81.849999999999994</v>
      </c>
      <c r="Q10" s="139">
        <v>71.900000000000006</v>
      </c>
      <c r="R10" s="140">
        <v>83.25</v>
      </c>
      <c r="S10" s="139">
        <v>63.2</v>
      </c>
      <c r="T10" s="141">
        <v>65.5</v>
      </c>
      <c r="U10" s="143">
        <v>64.7</v>
      </c>
      <c r="V10" s="141">
        <v>87.36</v>
      </c>
      <c r="W10" s="139">
        <v>74</v>
      </c>
      <c r="X10" s="141">
        <v>91.2</v>
      </c>
      <c r="Y10" s="139">
        <v>75.5</v>
      </c>
      <c r="Z10" s="149">
        <v>77.400000000000006</v>
      </c>
      <c r="AA10" s="139">
        <v>56.3</v>
      </c>
      <c r="AB10" s="141">
        <v>53.3</v>
      </c>
      <c r="AC10" s="139">
        <v>51.7</v>
      </c>
      <c r="AD10" s="141">
        <v>63.8</v>
      </c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</row>
    <row r="11" spans="1:52" ht="17.25" thickBot="1">
      <c r="A11" s="18" t="s">
        <v>175</v>
      </c>
      <c r="B11" s="5" t="s">
        <v>25</v>
      </c>
      <c r="C11" s="130"/>
      <c r="D11" s="130"/>
      <c r="E11" s="139">
        <v>33.1</v>
      </c>
      <c r="F11" s="140">
        <v>34.1</v>
      </c>
      <c r="G11" s="139">
        <v>32.700000000000003</v>
      </c>
      <c r="H11" s="140">
        <v>29.9</v>
      </c>
      <c r="I11" s="139">
        <v>27.5</v>
      </c>
      <c r="J11" s="140">
        <v>31.65</v>
      </c>
      <c r="K11" s="139">
        <v>31.1</v>
      </c>
      <c r="L11" s="149">
        <v>29.8</v>
      </c>
      <c r="M11" s="139">
        <v>27.9</v>
      </c>
      <c r="N11" s="140">
        <v>25.4</v>
      </c>
      <c r="O11" s="139">
        <v>24.65</v>
      </c>
      <c r="P11" s="140">
        <v>39.299999999999997</v>
      </c>
      <c r="Q11" s="139">
        <v>39.200000000000003</v>
      </c>
      <c r="R11" s="140">
        <v>44</v>
      </c>
      <c r="S11" s="139">
        <v>44.2</v>
      </c>
      <c r="T11" s="140">
        <v>34.65</v>
      </c>
      <c r="U11" s="139">
        <v>31.1</v>
      </c>
      <c r="V11" s="140">
        <v>37.86</v>
      </c>
      <c r="W11" s="139">
        <v>35.5</v>
      </c>
      <c r="X11" s="140">
        <v>44.6</v>
      </c>
      <c r="Y11" s="139">
        <v>41.3</v>
      </c>
      <c r="Z11" s="149">
        <v>52.2</v>
      </c>
      <c r="AA11" s="139">
        <v>52.9</v>
      </c>
      <c r="AB11" s="140">
        <v>45</v>
      </c>
      <c r="AC11" s="139">
        <v>43.55</v>
      </c>
      <c r="AD11" s="140">
        <v>53</v>
      </c>
      <c r="AE11" s="132"/>
      <c r="AF11" s="132"/>
      <c r="AG11" s="132"/>
      <c r="AH11" s="132"/>
      <c r="AI11" s="132"/>
      <c r="AJ11" s="132"/>
      <c r="AK11" s="132"/>
      <c r="AL11" s="132"/>
      <c r="AM11" s="132"/>
      <c r="AN11" s="132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</row>
    <row r="12" spans="1:52" ht="17.25" thickBot="1">
      <c r="A12" s="18" t="s">
        <v>176</v>
      </c>
      <c r="B12" s="5" t="s">
        <v>28</v>
      </c>
      <c r="C12" s="130"/>
      <c r="D12" s="130"/>
      <c r="E12" s="139">
        <v>53.5</v>
      </c>
      <c r="F12" s="140">
        <v>67</v>
      </c>
      <c r="G12" s="139">
        <v>64</v>
      </c>
      <c r="H12" s="141">
        <v>62</v>
      </c>
      <c r="I12" s="139">
        <v>59</v>
      </c>
      <c r="J12" s="141">
        <v>79.19</v>
      </c>
      <c r="K12" s="139">
        <v>76</v>
      </c>
      <c r="L12" s="149">
        <v>69.099999999999994</v>
      </c>
      <c r="M12" s="139">
        <v>65.400000000000006</v>
      </c>
      <c r="N12" s="140">
        <v>40.83</v>
      </c>
      <c r="O12" s="139">
        <v>37.5</v>
      </c>
      <c r="P12" s="141">
        <v>59.7</v>
      </c>
      <c r="Q12" s="139">
        <v>59.5</v>
      </c>
      <c r="R12" s="140">
        <v>54.79</v>
      </c>
      <c r="S12" s="139">
        <v>39.1</v>
      </c>
      <c r="T12" s="141">
        <v>32.700000000000003</v>
      </c>
      <c r="U12" s="143">
        <v>31.7</v>
      </c>
      <c r="V12" s="141">
        <v>33.58</v>
      </c>
      <c r="W12" s="139">
        <v>31.8</v>
      </c>
      <c r="X12" s="141">
        <v>52.23</v>
      </c>
      <c r="Y12" s="139">
        <v>44.1</v>
      </c>
      <c r="Z12" s="149">
        <v>50.797499999999999</v>
      </c>
      <c r="AA12" s="139">
        <v>46.55</v>
      </c>
      <c r="AB12" s="141">
        <v>46.3</v>
      </c>
      <c r="AC12" s="139">
        <v>42</v>
      </c>
      <c r="AD12" s="141">
        <v>50.2</v>
      </c>
      <c r="AE12" s="132"/>
      <c r="AF12" s="132"/>
      <c r="AG12" s="132"/>
      <c r="AH12" s="132"/>
      <c r="AI12" s="132"/>
      <c r="AJ12" s="132"/>
      <c r="AK12" s="132"/>
      <c r="AL12" s="132"/>
      <c r="AM12" s="132"/>
      <c r="AN12" s="132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</row>
    <row r="13" spans="1:52" ht="17.25" thickBot="1">
      <c r="A13" s="18" t="s">
        <v>177</v>
      </c>
      <c r="B13" s="5" t="s">
        <v>14</v>
      </c>
      <c r="C13" s="130"/>
      <c r="D13" s="130"/>
      <c r="E13" s="139">
        <v>14.45</v>
      </c>
      <c r="F13" s="140">
        <v>17.2</v>
      </c>
      <c r="G13" s="139">
        <v>16.8</v>
      </c>
      <c r="H13" s="141">
        <v>15.96</v>
      </c>
      <c r="I13" s="139">
        <v>14.8</v>
      </c>
      <c r="J13" s="141">
        <v>33.15</v>
      </c>
      <c r="K13" s="139">
        <v>32.700000000000003</v>
      </c>
      <c r="L13" s="149">
        <v>47.134</v>
      </c>
      <c r="M13" s="139">
        <v>43.9</v>
      </c>
      <c r="N13" s="140">
        <v>32.35</v>
      </c>
      <c r="O13" s="139">
        <v>28.35</v>
      </c>
      <c r="P13" s="141">
        <v>41.63</v>
      </c>
      <c r="Q13" s="139">
        <v>38.9</v>
      </c>
      <c r="R13" s="140">
        <v>48.38</v>
      </c>
      <c r="S13" s="139">
        <v>42.65</v>
      </c>
      <c r="T13" s="141">
        <v>48.31</v>
      </c>
      <c r="U13" s="143">
        <v>43.3</v>
      </c>
      <c r="V13" s="141">
        <v>58.03</v>
      </c>
      <c r="W13" s="139">
        <v>52.8</v>
      </c>
      <c r="X13" s="141">
        <v>58.32</v>
      </c>
      <c r="Y13" s="139">
        <v>48.4</v>
      </c>
      <c r="Z13" s="149">
        <v>54.712000000000003</v>
      </c>
      <c r="AA13" s="139">
        <v>55.4</v>
      </c>
      <c r="AB13" s="141">
        <v>54.9</v>
      </c>
      <c r="AC13" s="139">
        <v>53.9</v>
      </c>
      <c r="AD13" s="141">
        <v>55.4</v>
      </c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</row>
    <row r="14" spans="1:52" ht="17.25" thickBot="1">
      <c r="A14" s="18" t="s">
        <v>178</v>
      </c>
      <c r="B14" s="5" t="s">
        <v>34</v>
      </c>
      <c r="C14" s="130"/>
      <c r="D14" s="130"/>
      <c r="E14" s="139">
        <v>35.9</v>
      </c>
      <c r="F14" s="140">
        <v>25.37</v>
      </c>
      <c r="G14" s="139">
        <v>23.8</v>
      </c>
      <c r="H14" s="144">
        <v>33.21</v>
      </c>
      <c r="I14" s="139">
        <v>28.85</v>
      </c>
      <c r="J14" s="144">
        <v>37</v>
      </c>
      <c r="K14" s="139">
        <v>36.950000000000003</v>
      </c>
      <c r="L14" s="149">
        <v>38.79</v>
      </c>
      <c r="M14" s="139">
        <v>30.85</v>
      </c>
      <c r="N14" s="144">
        <v>13.85</v>
      </c>
      <c r="O14" s="139">
        <v>12.2</v>
      </c>
      <c r="P14" s="144">
        <v>29.35</v>
      </c>
      <c r="Q14" s="139">
        <v>29.2</v>
      </c>
      <c r="R14" s="144">
        <v>37.49</v>
      </c>
      <c r="S14" s="139">
        <v>27.65</v>
      </c>
      <c r="T14" s="144">
        <v>25.9</v>
      </c>
      <c r="U14" s="143">
        <v>25.5</v>
      </c>
      <c r="V14" s="144">
        <v>29.38</v>
      </c>
      <c r="W14" s="139">
        <v>24.75</v>
      </c>
      <c r="X14" s="144">
        <v>28.75</v>
      </c>
      <c r="Y14" s="139">
        <v>27.2</v>
      </c>
      <c r="Z14" s="149">
        <v>39.39</v>
      </c>
      <c r="AA14" s="139">
        <v>32.85</v>
      </c>
      <c r="AB14" s="144">
        <v>38</v>
      </c>
      <c r="AC14" s="139">
        <v>36.6</v>
      </c>
      <c r="AD14" s="144">
        <v>34.65</v>
      </c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</row>
    <row r="15" spans="1:52" s="23" customFormat="1" ht="17.25" thickBot="1">
      <c r="A15" s="18" t="s">
        <v>181</v>
      </c>
      <c r="B15" s="5" t="s">
        <v>18</v>
      </c>
      <c r="C15" s="234"/>
      <c r="D15" s="234"/>
      <c r="E15" s="139">
        <v>49.7</v>
      </c>
      <c r="F15" s="140">
        <v>53.32</v>
      </c>
      <c r="G15" s="139">
        <v>48.7</v>
      </c>
      <c r="H15" s="141">
        <v>51.51</v>
      </c>
      <c r="I15" s="139">
        <v>44.6</v>
      </c>
      <c r="J15" s="140">
        <v>59.63</v>
      </c>
      <c r="K15" s="139">
        <v>55.2</v>
      </c>
      <c r="L15" s="141">
        <v>91</v>
      </c>
      <c r="M15" s="139">
        <v>83</v>
      </c>
      <c r="N15" s="140">
        <v>42</v>
      </c>
      <c r="O15" s="139">
        <v>35.299999999999997</v>
      </c>
      <c r="P15" s="141">
        <v>60.85</v>
      </c>
      <c r="Q15" s="139">
        <v>68.900000000000006</v>
      </c>
      <c r="R15" s="140">
        <v>74.599999999999994</v>
      </c>
      <c r="S15" s="139">
        <v>69</v>
      </c>
      <c r="T15" s="141">
        <v>60.1</v>
      </c>
      <c r="U15" s="143">
        <v>60</v>
      </c>
      <c r="V15" s="141">
        <v>58.1</v>
      </c>
      <c r="W15" s="139">
        <v>58.5</v>
      </c>
      <c r="X15" s="141">
        <v>69.89</v>
      </c>
      <c r="Y15" s="139">
        <v>63</v>
      </c>
      <c r="Z15" s="149">
        <v>68.099999999999994</v>
      </c>
      <c r="AA15" s="139">
        <v>61.8</v>
      </c>
      <c r="AB15" s="141">
        <v>61</v>
      </c>
      <c r="AC15" s="139">
        <v>68.2</v>
      </c>
      <c r="AD15" s="141">
        <v>74.5</v>
      </c>
      <c r="AE15" s="237"/>
      <c r="AF15" s="237"/>
      <c r="AG15" s="237"/>
      <c r="AH15" s="237"/>
      <c r="AI15" s="237"/>
      <c r="AJ15" s="237"/>
      <c r="AK15" s="237"/>
      <c r="AL15" s="237"/>
      <c r="AM15" s="237"/>
      <c r="AN15" s="237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</row>
    <row r="16" spans="1:52" s="23" customFormat="1" ht="17.25" thickBot="1">
      <c r="A16" s="18" t="s">
        <v>179</v>
      </c>
      <c r="B16" s="5" t="s">
        <v>180</v>
      </c>
      <c r="C16" s="234"/>
      <c r="D16" s="234"/>
      <c r="E16" s="139">
        <v>57</v>
      </c>
      <c r="F16" s="140">
        <v>71.05</v>
      </c>
      <c r="G16" s="139">
        <v>60</v>
      </c>
      <c r="H16" s="141">
        <v>59.79</v>
      </c>
      <c r="I16" s="139">
        <v>52.6</v>
      </c>
      <c r="J16" s="141">
        <v>59.3</v>
      </c>
      <c r="K16" s="139">
        <v>55.2</v>
      </c>
      <c r="L16" s="141">
        <v>90</v>
      </c>
      <c r="M16" s="139">
        <v>80.5</v>
      </c>
      <c r="N16" s="140">
        <v>42.1</v>
      </c>
      <c r="O16" s="139">
        <v>40.1</v>
      </c>
      <c r="P16" s="141">
        <v>73.900000000000006</v>
      </c>
      <c r="Q16" s="139">
        <v>57.6</v>
      </c>
      <c r="R16" s="140">
        <v>105.7</v>
      </c>
      <c r="S16" s="139">
        <v>82.6</v>
      </c>
      <c r="T16" s="141">
        <v>79.900000000000006</v>
      </c>
      <c r="U16" s="143">
        <v>78.599999999999994</v>
      </c>
      <c r="V16" s="141">
        <v>77.900000000000006</v>
      </c>
      <c r="W16" s="139">
        <v>77.8</v>
      </c>
      <c r="X16" s="141">
        <v>86.5</v>
      </c>
      <c r="Y16" s="139">
        <v>75.8</v>
      </c>
      <c r="Z16" s="149">
        <v>67.400000000000006</v>
      </c>
      <c r="AA16" s="139">
        <v>71.099999999999994</v>
      </c>
      <c r="AB16" s="141">
        <v>74</v>
      </c>
      <c r="AC16" s="139">
        <v>57.4</v>
      </c>
      <c r="AD16" s="141">
        <v>101.9</v>
      </c>
      <c r="AE16" s="237"/>
      <c r="AF16" s="237"/>
      <c r="AG16" s="237"/>
      <c r="AH16" s="237"/>
      <c r="AI16" s="237"/>
      <c r="AJ16" s="237"/>
      <c r="AK16" s="237"/>
      <c r="AL16" s="237"/>
      <c r="AM16" s="237"/>
      <c r="AN16" s="237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</row>
    <row r="17" spans="1:52" ht="17.25" thickBot="1">
      <c r="A17" s="18" t="s">
        <v>182</v>
      </c>
      <c r="B17" s="5" t="s">
        <v>46</v>
      </c>
      <c r="C17" s="130"/>
      <c r="D17" s="130"/>
      <c r="E17" s="139">
        <v>54</v>
      </c>
      <c r="F17" s="140">
        <v>57.006</v>
      </c>
      <c r="G17" s="139">
        <v>51</v>
      </c>
      <c r="H17" s="141">
        <v>71.8</v>
      </c>
      <c r="I17" s="139">
        <v>67.900000000000006</v>
      </c>
      <c r="J17" s="141">
        <v>82.100000000000009</v>
      </c>
      <c r="K17" s="139">
        <v>78.7</v>
      </c>
      <c r="L17" s="149">
        <v>88.7</v>
      </c>
      <c r="M17" s="143">
        <v>83.4</v>
      </c>
      <c r="N17" s="140">
        <v>81.600000000000009</v>
      </c>
      <c r="O17" s="139">
        <v>79</v>
      </c>
      <c r="P17" s="141">
        <v>88.489599999999996</v>
      </c>
      <c r="Q17" s="139">
        <v>76</v>
      </c>
      <c r="R17" s="140">
        <v>138.1</v>
      </c>
      <c r="S17" s="139">
        <v>172.5</v>
      </c>
      <c r="T17" s="141">
        <v>165</v>
      </c>
      <c r="U17" s="143">
        <v>167</v>
      </c>
      <c r="V17" s="141">
        <v>160.30000000000001</v>
      </c>
      <c r="W17" s="139">
        <v>161.5</v>
      </c>
      <c r="X17" s="141">
        <v>211.35</v>
      </c>
      <c r="Y17" s="139">
        <v>194.5</v>
      </c>
      <c r="Z17" s="149">
        <v>250.5</v>
      </c>
      <c r="AA17" s="139">
        <v>223.5</v>
      </c>
      <c r="AB17" s="141">
        <v>205.5</v>
      </c>
      <c r="AC17" s="139">
        <v>200</v>
      </c>
      <c r="AD17" s="141">
        <v>238.2</v>
      </c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</row>
    <row r="18" spans="1:52" s="23" customFormat="1" ht="17.25" thickBot="1">
      <c r="A18" s="54" t="s">
        <v>183</v>
      </c>
      <c r="B18" s="53" t="s">
        <v>48</v>
      </c>
      <c r="C18" s="234"/>
      <c r="D18" s="234"/>
      <c r="E18" s="139">
        <v>21.3</v>
      </c>
      <c r="F18" s="140">
        <v>23.44</v>
      </c>
      <c r="G18" s="139">
        <v>21.8</v>
      </c>
      <c r="H18" s="141">
        <v>22.88</v>
      </c>
      <c r="I18" s="139">
        <v>21.1</v>
      </c>
      <c r="J18" s="141">
        <v>25.5</v>
      </c>
      <c r="K18" s="139">
        <v>24.35</v>
      </c>
      <c r="L18" s="149">
        <v>21.45</v>
      </c>
      <c r="M18" s="139">
        <v>19.5</v>
      </c>
      <c r="N18" s="140">
        <v>12.7</v>
      </c>
      <c r="O18" s="139">
        <v>11.6</v>
      </c>
      <c r="P18" s="141">
        <v>18.75</v>
      </c>
      <c r="Q18" s="139">
        <v>18.600000000000001</v>
      </c>
      <c r="R18" s="140">
        <v>23.45</v>
      </c>
      <c r="S18" s="139">
        <v>26.6</v>
      </c>
      <c r="T18" s="141">
        <v>21.5</v>
      </c>
      <c r="U18" s="143">
        <v>19.45</v>
      </c>
      <c r="V18" s="141">
        <v>23.79</v>
      </c>
      <c r="W18" s="139">
        <v>23.1</v>
      </c>
      <c r="X18" s="141">
        <v>26.2</v>
      </c>
      <c r="Y18" s="139">
        <v>24</v>
      </c>
      <c r="Z18" s="149">
        <v>25.56</v>
      </c>
      <c r="AA18" s="139">
        <v>24.75</v>
      </c>
      <c r="AB18" s="141">
        <v>21.25</v>
      </c>
      <c r="AC18" s="139">
        <v>21</v>
      </c>
      <c r="AD18" s="141">
        <v>24.5</v>
      </c>
      <c r="AE18" s="237"/>
      <c r="AF18" s="237"/>
      <c r="AG18" s="237"/>
      <c r="AH18" s="237"/>
      <c r="AI18" s="237"/>
      <c r="AJ18" s="237"/>
      <c r="AK18" s="237"/>
      <c r="AL18" s="237"/>
      <c r="AM18" s="237"/>
      <c r="AN18" s="237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</row>
    <row r="19" spans="1:52" s="23" customFormat="1" ht="17.25" thickBot="1">
      <c r="A19" s="18" t="s">
        <v>184</v>
      </c>
      <c r="B19" s="5" t="s">
        <v>50</v>
      </c>
      <c r="C19" s="234"/>
      <c r="D19" s="234"/>
      <c r="E19" s="139">
        <v>25.3</v>
      </c>
      <c r="F19" s="140">
        <v>27.2</v>
      </c>
      <c r="G19" s="139">
        <v>27.3</v>
      </c>
      <c r="H19" s="141">
        <v>25.43</v>
      </c>
      <c r="I19" s="139">
        <v>22.95</v>
      </c>
      <c r="J19" s="141">
        <v>26.62</v>
      </c>
      <c r="K19" s="139">
        <v>25.2</v>
      </c>
      <c r="L19" s="149">
        <v>25.43</v>
      </c>
      <c r="M19" s="139">
        <v>23.15</v>
      </c>
      <c r="N19" s="140">
        <v>19.16</v>
      </c>
      <c r="O19" s="139">
        <v>17.7</v>
      </c>
      <c r="P19" s="141">
        <v>20.85</v>
      </c>
      <c r="Q19" s="139">
        <v>19.75</v>
      </c>
      <c r="R19" s="140">
        <v>28.02</v>
      </c>
      <c r="S19" s="139">
        <v>23.8</v>
      </c>
      <c r="T19" s="141">
        <v>17.75</v>
      </c>
      <c r="U19" s="143">
        <v>17.149999999999999</v>
      </c>
      <c r="V19" s="141">
        <v>19.16</v>
      </c>
      <c r="W19" s="139">
        <v>17.5</v>
      </c>
      <c r="X19" s="141">
        <v>20.21</v>
      </c>
      <c r="Y19" s="139">
        <v>17.7</v>
      </c>
      <c r="Z19" s="149">
        <v>20.46</v>
      </c>
      <c r="AA19" s="139">
        <v>16.100000000000001</v>
      </c>
      <c r="AB19" s="141">
        <v>15.3</v>
      </c>
      <c r="AC19" s="139">
        <v>15</v>
      </c>
      <c r="AD19" s="141">
        <v>18.920000000000002</v>
      </c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</row>
    <row r="20" spans="1:52" s="23" customFormat="1" ht="17.25" thickBot="1">
      <c r="A20" s="18" t="s">
        <v>185</v>
      </c>
      <c r="B20" s="5" t="s">
        <v>186</v>
      </c>
      <c r="C20" s="234"/>
      <c r="D20" s="234"/>
      <c r="E20" s="139">
        <v>54</v>
      </c>
      <c r="F20" s="140">
        <v>62.75</v>
      </c>
      <c r="G20" s="139">
        <v>59</v>
      </c>
      <c r="H20" s="141">
        <v>65.302000000000007</v>
      </c>
      <c r="I20" s="139">
        <v>58.7</v>
      </c>
      <c r="J20" s="141">
        <v>78.447999999999993</v>
      </c>
      <c r="K20" s="139">
        <v>73.400000000000006</v>
      </c>
      <c r="L20" s="149">
        <v>101.4</v>
      </c>
      <c r="M20" s="139">
        <v>93</v>
      </c>
      <c r="N20" s="140">
        <v>74.5</v>
      </c>
      <c r="O20" s="139">
        <v>68.2</v>
      </c>
      <c r="P20" s="141">
        <v>86.072000000000003</v>
      </c>
      <c r="Q20" s="139">
        <v>82.4</v>
      </c>
      <c r="R20" s="140">
        <v>102.7</v>
      </c>
      <c r="S20" s="139">
        <v>88.5</v>
      </c>
      <c r="T20" s="141">
        <v>93.8</v>
      </c>
      <c r="U20" s="143">
        <v>90.7</v>
      </c>
      <c r="V20" s="141">
        <v>88</v>
      </c>
      <c r="W20" s="139">
        <v>83.2</v>
      </c>
      <c r="X20" s="141">
        <v>82.06</v>
      </c>
      <c r="Y20" s="139">
        <v>75.7</v>
      </c>
      <c r="Z20" s="149">
        <v>71.2</v>
      </c>
      <c r="AA20" s="139">
        <v>71.7</v>
      </c>
      <c r="AB20" s="141">
        <v>78.8</v>
      </c>
      <c r="AC20" s="139">
        <v>76.900000000000006</v>
      </c>
      <c r="AD20" s="141">
        <v>116</v>
      </c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</row>
    <row r="21" spans="1:52" s="23" customFormat="1" ht="17.25" thickBot="1">
      <c r="A21" s="18" t="s">
        <v>187</v>
      </c>
      <c r="B21" s="5" t="s">
        <v>54</v>
      </c>
      <c r="C21" s="130"/>
      <c r="D21" s="130"/>
      <c r="E21" s="139">
        <v>0</v>
      </c>
      <c r="F21" s="140">
        <v>0</v>
      </c>
      <c r="G21" s="139">
        <v>0</v>
      </c>
      <c r="H21" s="141">
        <v>0</v>
      </c>
      <c r="I21" s="139">
        <v>36.9</v>
      </c>
      <c r="J21" s="141">
        <v>40.049999999999997</v>
      </c>
      <c r="K21" s="139">
        <v>36.9</v>
      </c>
      <c r="L21" s="149">
        <v>44.1</v>
      </c>
      <c r="M21" s="139">
        <v>40.5</v>
      </c>
      <c r="N21" s="140">
        <v>42.32</v>
      </c>
      <c r="O21" s="139">
        <v>37.25</v>
      </c>
      <c r="P21" s="141">
        <v>40.950000000000003</v>
      </c>
      <c r="Q21" s="139">
        <v>38.1</v>
      </c>
      <c r="R21" s="140">
        <v>45.1</v>
      </c>
      <c r="S21" s="139">
        <v>45.5</v>
      </c>
      <c r="T21" s="141">
        <v>56.9</v>
      </c>
      <c r="U21" s="143">
        <v>56.8</v>
      </c>
      <c r="V21" s="141">
        <v>77.099999999999994</v>
      </c>
      <c r="W21" s="139">
        <v>72.3</v>
      </c>
      <c r="X21" s="141">
        <v>69</v>
      </c>
      <c r="Y21" s="139">
        <v>57.8</v>
      </c>
      <c r="Z21" s="149">
        <v>76.75</v>
      </c>
      <c r="AA21" s="139">
        <v>74.2</v>
      </c>
      <c r="AB21" s="141">
        <v>67.599999999999994</v>
      </c>
      <c r="AC21" s="139">
        <v>66.2</v>
      </c>
      <c r="AD21" s="141">
        <v>76.25</v>
      </c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</row>
    <row r="22" spans="1:52">
      <c r="A22" s="19"/>
    </row>
    <row r="23" spans="1:52">
      <c r="A23" s="19"/>
    </row>
    <row r="24" spans="1:52">
      <c r="A24" s="19"/>
    </row>
    <row r="25" spans="1:52">
      <c r="A25" s="19"/>
    </row>
    <row r="26" spans="1:52">
      <c r="A26" s="19"/>
    </row>
    <row r="27" spans="1:52">
      <c r="A27" s="19"/>
    </row>
    <row r="28" spans="1:52">
      <c r="A28" s="19"/>
    </row>
    <row r="29" spans="1:52">
      <c r="A29" s="19"/>
    </row>
    <row r="30" spans="1:52">
      <c r="A30" s="19"/>
    </row>
    <row r="31" spans="1:52">
      <c r="A31" s="19"/>
    </row>
    <row r="32" spans="1:52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  <row r="45" spans="1:1">
      <c r="A45" s="19"/>
    </row>
    <row r="46" spans="1:1">
      <c r="A46" s="19"/>
    </row>
    <row r="47" spans="1:1">
      <c r="A47" s="19"/>
    </row>
    <row r="48" spans="1:1">
      <c r="A48" s="19"/>
    </row>
    <row r="49" spans="1:1">
      <c r="A49" s="19"/>
    </row>
  </sheetData>
  <sheetProtection password="CC39" sheet="1" formatCells="0" formatColumns="0" formatRows="0"/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</dc:creator>
  <cp:keywords/>
  <dc:description/>
  <cp:lastModifiedBy>李友鈴</cp:lastModifiedBy>
  <cp:revision/>
  <dcterms:created xsi:type="dcterms:W3CDTF">2017-02-20T00:52:56Z</dcterms:created>
  <dcterms:modified xsi:type="dcterms:W3CDTF">2017-09-30T01:55:24Z</dcterms:modified>
  <cp:category/>
  <cp:contentStatus/>
</cp:coreProperties>
</file>